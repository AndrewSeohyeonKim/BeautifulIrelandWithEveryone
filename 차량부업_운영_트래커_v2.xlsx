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차량_정보" sheetId="2" state="visible" r:id="rId2"/>
    <sheet xmlns:r="http://schemas.openxmlformats.org/officeDocument/2006/relationships" name="가격_가이드" sheetId="3" state="visible" r:id="rId3"/>
    <sheet xmlns:r="http://schemas.openxmlformats.org/officeDocument/2006/relationships" name="여행_기록" sheetId="4" state="visible" r:id="rId4"/>
    <sheet xmlns:r="http://schemas.openxmlformats.org/officeDocument/2006/relationships" name="이동_기록" sheetId="5" state="visible" r:id="rId5"/>
    <sheet xmlns:r="http://schemas.openxmlformats.org/officeDocument/2006/relationships" name="정비_영수증" sheetId="6" state="visible" r:id="rId6"/>
    <sheet xmlns:r="http://schemas.openxmlformats.org/officeDocument/2006/relationships" name="가격_계산기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€#,##0"/>
    <numFmt numFmtId="165" formatCode="\€0.000"/>
    <numFmt numFmtId="166" formatCode="0.0"/>
    <numFmt numFmtId="167" formatCode="\€#,##0.00"/>
    <numFmt numFmtId="168" formatCode="\€0.00"/>
    <numFmt numFmtId="169" formatCode="#,##0.0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2C3E50"/>
      <sz val="18"/>
    </font>
    <font>
      <name val="DejaVu Sans"/>
      <family val="2"/>
      <i val="1"/>
      <color rgb="FF7F8C8D"/>
      <sz val="9"/>
    </font>
    <font>
      <name val="Arial"/>
      <charset val="1"/>
      <family val="0"/>
      <i val="1"/>
      <color rgb="FF7F8C8D"/>
      <sz val="9"/>
    </font>
    <font>
      <name val="DejaVu Sans"/>
      <family val="2"/>
      <b val="1"/>
      <color rgb="FF2C3E50"/>
      <sz val="14"/>
    </font>
    <font>
      <name val="Arial"/>
      <charset val="1"/>
      <family val="0"/>
      <b val="1"/>
      <color rgb="FF2C3E50"/>
      <sz val="11"/>
    </font>
    <font>
      <name val="DejaVu Sans"/>
      <family val="2"/>
      <b val="1"/>
      <color rgb="FF2C3E50"/>
      <sz val="11"/>
    </font>
    <font>
      <name val="Arial"/>
      <charset val="1"/>
      <family val="0"/>
      <b val="1"/>
      <color rgb="FF2C3E50"/>
      <sz val="20"/>
    </font>
    <font>
      <name val="Arial"/>
      <charset val="1"/>
      <family val="0"/>
      <b val="1"/>
      <color rgb="FF2C3E50"/>
      <sz val="14"/>
    </font>
    <font>
      <name val="DejaVu Sans"/>
      <family val="2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2C3E50"/>
      <sz val="18"/>
    </font>
    <font>
      <name val="Arial"/>
      <charset val="1"/>
      <family val="0"/>
      <color rgb="FF0000FF"/>
      <sz val="11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DejaVu Sans"/>
      <family val="2"/>
      <b val="1"/>
      <color rgb="FF2C3E50"/>
      <sz val="12"/>
    </font>
    <font>
      <name val="Arial"/>
      <charset val="1"/>
      <family val="0"/>
      <b val="1"/>
      <color rgb="FF2C3E50"/>
      <sz val="12"/>
    </font>
    <font>
      <name val="DejaVu Sans"/>
      <family val="2"/>
      <color rgb="FF0000FF"/>
      <sz val="11"/>
    </font>
  </fonts>
  <fills count="8">
    <fill>
      <patternFill/>
    </fill>
    <fill>
      <patternFill patternType="gray125"/>
    </fill>
    <fill>
      <patternFill patternType="solid">
        <fgColor rgb="FFECF0F1"/>
        <bgColor rgb="FFD5F4E6"/>
      </patternFill>
    </fill>
    <fill>
      <patternFill patternType="solid">
        <fgColor rgb="FFFFE5CC"/>
        <bgColor rgb="FFFADBD8"/>
      </patternFill>
    </fill>
    <fill>
      <patternFill patternType="solid">
        <fgColor rgb="FFFADBD8"/>
        <bgColor rgb="FFFFE5CC"/>
      </patternFill>
    </fill>
    <fill>
      <patternFill patternType="solid">
        <fgColor rgb="FFFFF9C4"/>
        <bgColor rgb="FFFFE5CC"/>
      </patternFill>
    </fill>
    <fill>
      <patternFill patternType="solid">
        <fgColor rgb="FF34495E"/>
        <bgColor rgb="FF2C3E50"/>
      </patternFill>
    </fill>
    <fill>
      <patternFill patternType="solid">
        <fgColor rgb="FFD5F4E6"/>
        <bgColor rgb="FFCCFFCC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 wrapText="1"/>
    </xf>
    <xf numFmtId="3" fontId="10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165" fontId="14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164" fontId="14" fillId="4" borderId="1" applyAlignment="1" pivotButton="0" quotePrefix="0" xfId="0">
      <alignment horizontal="right" vertical="center"/>
    </xf>
    <xf numFmtId="49" fontId="16" fillId="5" borderId="1" applyAlignment="1" pivotButton="0" quotePrefix="0" xfId="0">
      <alignment horizontal="right" vertical="center"/>
    </xf>
    <xf numFmtId="3" fontId="16" fillId="5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right" vertical="center"/>
    </xf>
    <xf numFmtId="166" fontId="16" fillId="5" borderId="1" applyAlignment="1" pivotButton="0" quotePrefix="0" xfId="0">
      <alignment horizontal="right" vertical="center"/>
    </xf>
    <xf numFmtId="165" fontId="16" fillId="5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 wrapText="1"/>
    </xf>
    <xf numFmtId="1" fontId="16" fillId="5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19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7" fontId="19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20" fillId="7" borderId="1" applyAlignment="1" pivotButton="0" quotePrefix="0" xfId="0">
      <alignment horizontal="general" vertical="bottom"/>
    </xf>
    <xf numFmtId="165" fontId="21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general" vertical="bottom"/>
    </xf>
    <xf numFmtId="165" fontId="19" fillId="3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167" fontId="16" fillId="5" borderId="1" applyAlignment="1" pivotButton="0" quotePrefix="0" xfId="0">
      <alignment horizontal="right" vertical="center"/>
    </xf>
    <xf numFmtId="169" fontId="16" fillId="5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64" fontId="17" fillId="6" borderId="1" applyAlignment="1" pivotButton="0" quotePrefix="0" xfId="0">
      <alignment horizontal="center" vertical="center" wrapText="1"/>
    </xf>
    <xf numFmtId="164" fontId="16" fillId="5" borderId="1" applyAlignment="1" pivotButton="0" quotePrefix="0" xfId="0">
      <alignment horizontal="left" vertical="center" wrapText="1"/>
    </xf>
    <xf numFmtId="167" fontId="14" fillId="3" borderId="1" applyAlignment="1" pivotButton="0" quotePrefix="0" xfId="0">
      <alignment horizontal="right" vertical="center"/>
    </xf>
    <xf numFmtId="49" fontId="14" fillId="3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 wrapText="1"/>
    </xf>
    <xf numFmtId="3" fontId="10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5" fontId="14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164" fontId="14" fillId="4" borderId="1" applyAlignment="1" pivotButton="0" quotePrefix="0" xfId="0">
      <alignment horizontal="right" vertical="center"/>
    </xf>
    <xf numFmtId="49" fontId="16" fillId="5" borderId="1" applyAlignment="1" pivotButton="0" quotePrefix="0" xfId="0">
      <alignment horizontal="right" vertical="center"/>
    </xf>
    <xf numFmtId="3" fontId="16" fillId="5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right" vertical="center"/>
    </xf>
    <xf numFmtId="166" fontId="16" fillId="5" borderId="1" applyAlignment="1" pivotButton="0" quotePrefix="0" xfId="0">
      <alignment horizontal="right" vertical="center"/>
    </xf>
    <xf numFmtId="165" fontId="16" fillId="5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 wrapText="1"/>
    </xf>
    <xf numFmtId="1" fontId="16" fillId="5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19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7" fontId="19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20" fillId="7" borderId="1" applyAlignment="1" pivotButton="0" quotePrefix="0" xfId="0">
      <alignment horizontal="general" vertical="bottom"/>
    </xf>
    <xf numFmtId="165" fontId="21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general" vertical="bottom"/>
    </xf>
    <xf numFmtId="165" fontId="19" fillId="3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167" fontId="16" fillId="5" borderId="1" applyAlignment="1" pivotButton="0" quotePrefix="0" xfId="0">
      <alignment horizontal="right" vertical="center"/>
    </xf>
    <xf numFmtId="169" fontId="16" fillId="5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64" fontId="17" fillId="6" borderId="1" applyAlignment="1" pivotButton="0" quotePrefix="0" xfId="0">
      <alignment horizontal="center" vertical="center" wrapText="1"/>
    </xf>
    <xf numFmtId="164" fontId="16" fillId="5" borderId="1" applyAlignment="1" pivotButton="0" quotePrefix="0" xfId="0">
      <alignment horizontal="left" vertical="center" wrapText="1"/>
    </xf>
    <xf numFmtId="167" fontId="14" fillId="3" borderId="1" applyAlignment="1" pivotButton="0" quotePrefix="0" xfId="0">
      <alignment horizontal="right" vertical="center"/>
    </xf>
    <xf numFmtId="49" fontId="14" fillId="3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D5F4E6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9C4"/>
      <rgbColor rgb="FFD5F4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0F1"/>
      <rgbColor rgb="FFCCFFCC"/>
      <rgbColor rgb="FFFFE5CC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58" min="1" max="6"/>
  </cols>
  <sheetData>
    <row r="1" ht="31.5" customHeight="1" s="59">
      <c r="A1" s="60" t="inlineStr">
        <is>
          <t>📊 운영 대시보드</t>
        </is>
      </c>
    </row>
    <row r="2" ht="11.9" customHeight="1" s="59">
      <c r="A2" s="61" t="inlineStr">
        <is>
          <t>차량 부업 — Andrew | 2026 시즌</t>
        </is>
      </c>
    </row>
    <row r="4" ht="17.35" customHeight="1" s="59">
      <c r="A4" s="62" t="inlineStr">
        <is>
          <t>🟦 핵심 지표</t>
        </is>
      </c>
    </row>
    <row r="5" ht="15" customHeight="1" s="59">
      <c r="A5" s="63" t="inlineStr">
        <is>
          <t>YTD 총 운행 km</t>
        </is>
      </c>
      <c r="D5" s="63" t="inlineStr">
        <is>
          <t>YTD 총 수입 (€)</t>
        </is>
      </c>
    </row>
    <row r="6" ht="30" customHeight="1" s="59">
      <c r="A6" s="64">
        <f>SUM(여행_기록!C5:C55)+SUM(이동_기록!D5:D85)</f>
        <v/>
      </c>
      <c r="D6" s="65">
        <f>SUM(여행_기록!J5:J55)+SUM(이동_기록!H5:H85)</f>
        <v/>
      </c>
    </row>
    <row r="8" ht="15" customHeight="1" s="59">
      <c r="A8" s="63" t="inlineStr">
        <is>
          <t>YTD 총 진짜 비용 (€)</t>
        </is>
      </c>
      <c r="D8" s="63" t="inlineStr">
        <is>
          <t>YTD 흑자/적자 (€)</t>
        </is>
      </c>
    </row>
    <row r="9" ht="30" customHeight="1" s="59">
      <c r="A9" s="65">
        <f>SUM(여행_기록!K5:K55)+SUM(이동_기록!I5:I85)</f>
        <v/>
      </c>
      <c r="D9" s="65">
        <f>SUM(여행_기록!M5:M55)+SUM(이동_기록!K5:K85)</f>
        <v/>
      </c>
    </row>
    <row r="11" ht="15" customHeight="1" s="59">
      <c r="A11" s="63" t="inlineStr">
        <is>
          <t>YTD 정비 지출 (€)</t>
        </is>
      </c>
      <c r="D11" s="66" t="inlineStr">
        <is>
          <t>정비 충당 잔액 (€)</t>
        </is>
      </c>
    </row>
    <row r="12" ht="30" customHeight="1" s="59">
      <c r="A12" s="65">
        <f>정비_영수증!B9</f>
        <v/>
      </c>
      <c r="D12" s="65">
        <f>정비_영수증!B10</f>
        <v/>
      </c>
    </row>
    <row r="14" ht="17.9" customHeight="1" s="59">
      <c r="A14" s="62" t="inlineStr">
        <is>
          <t>📐 차량 비용 모델 (실시간)</t>
        </is>
      </c>
    </row>
    <row r="15" ht="15" customHeight="1" s="59">
      <c r="A15" s="67" t="inlineStr">
        <is>
          <t>진짜 km당 실비</t>
        </is>
      </c>
      <c r="B15" s="68" t="n"/>
      <c r="C15" s="69" t="n"/>
      <c r="D15" s="70">
        <f>차량_정보!C38</f>
        <v/>
      </c>
      <c r="E15" s="68" t="n"/>
      <c r="F15" s="69" t="n"/>
    </row>
    <row r="16" ht="15" customHeight="1" s="59">
      <c r="A16" s="67" t="inlineStr">
        <is>
          <t>마모/감가 km당</t>
        </is>
      </c>
      <c r="B16" s="68" t="n"/>
      <c r="C16" s="69" t="n"/>
      <c r="D16" s="70">
        <f>차량_정보!C39</f>
        <v/>
      </c>
      <c r="E16" s="68" t="n"/>
      <c r="F16" s="69" t="n"/>
    </row>
    <row r="17" ht="15" customHeight="1" s="59">
      <c r="A17" s="67" t="inlineStr">
        <is>
          <t>연료 km당</t>
        </is>
      </c>
      <c r="B17" s="68" t="n"/>
      <c r="C17" s="69" t="n"/>
      <c r="D17" s="70">
        <f>차량_정보!C28</f>
        <v/>
      </c>
      <c r="E17" s="68" t="n"/>
      <c r="F17" s="69" t="n"/>
    </row>
    <row r="18" ht="15" customHeight="1" s="59">
      <c r="A18" s="67" t="inlineStr">
        <is>
          <t>내 시간당 단가</t>
        </is>
      </c>
      <c r="B18" s="68" t="n"/>
      <c r="C18" s="69" t="n"/>
      <c r="D18" s="71">
        <f>차량_정보!B16</f>
        <v/>
      </c>
      <c r="E18" s="68" t="n"/>
      <c r="F18" s="69" t="n"/>
    </row>
    <row r="19" ht="15" customHeight="1" s="59">
      <c r="A19" s="67" t="inlineStr">
        <is>
          <t>이사 노동 시간당</t>
        </is>
      </c>
      <c r="B19" s="68" t="n"/>
      <c r="C19" s="69" t="n"/>
      <c r="D19" s="71">
        <f>차량_정보!B17</f>
        <v/>
      </c>
      <c r="E19" s="68" t="n"/>
      <c r="F19" s="69" t="n"/>
    </row>
    <row r="22" ht="17.9" customHeight="1" s="59">
      <c r="A22" s="62" t="inlineStr">
        <is>
          <t>💝 친구 보조금 누적 (Tier 1 의도된 적자)</t>
        </is>
      </c>
    </row>
    <row r="23" ht="15" customHeight="1" s="59">
      <c r="A23" s="72" t="inlineStr">
        <is>
          <t>Tier 1 트립 합계 (적자 = 너의 보조금)</t>
        </is>
      </c>
      <c r="D23" s="73">
        <f>SUMIFS(여행_기록!M5:M55,여행_기록!I5:I55,1)</f>
        <v/>
      </c>
      <c r="E23" s="68" t="n"/>
      <c r="F23" s="69" t="n"/>
    </row>
    <row r="25" ht="17.35" customHeight="1" s="59">
      <c r="A25" s="62" t="inlineStr">
        <is>
          <t>🔗 빠른 이동</t>
        </is>
      </c>
    </row>
    <row r="26" ht="11.9" customHeight="1" s="59">
      <c r="A26" s="61" t="inlineStr">
        <is>
          <t>↳ 새 여행 기록하기 → 여행_기록 시트</t>
        </is>
      </c>
    </row>
    <row r="27" ht="11.9" customHeight="1" s="59">
      <c r="A27" s="61" t="inlineStr">
        <is>
          <t>↳ 새 픽업·이사 기록하기 → 이동_기록 시트</t>
        </is>
      </c>
    </row>
    <row r="28" ht="11.9" customHeight="1" s="59">
      <c r="A28" s="61" t="inlineStr">
        <is>
          <t>↳ 정비 영수증 입력 → 정비_영수증 시트</t>
        </is>
      </c>
    </row>
    <row r="29" ht="11.9" customHeight="1" s="59">
      <c r="A29" s="61" t="inlineStr">
        <is>
          <t>↳ 가격 시뮬레이션 → 가격_계산기 시트</t>
        </is>
      </c>
    </row>
    <row r="30" ht="11.9" customHeight="1" s="59">
      <c r="A30" s="61" t="inlineStr">
        <is>
          <t>↳ 차량 정보 변경 → 차량_정보 시트</t>
        </is>
      </c>
    </row>
  </sheetData>
  <mergeCells count="35">
    <mergeCell ref="D11:F11"/>
    <mergeCell ref="A27:F27"/>
    <mergeCell ref="A18:C18"/>
    <mergeCell ref="D17:F17"/>
    <mergeCell ref="A26:F26"/>
    <mergeCell ref="A12:C12"/>
    <mergeCell ref="D16:F16"/>
    <mergeCell ref="A2:F2"/>
    <mergeCell ref="A5:C5"/>
    <mergeCell ref="A14:F14"/>
    <mergeCell ref="A23:C23"/>
    <mergeCell ref="A8:C8"/>
    <mergeCell ref="D12:F12"/>
    <mergeCell ref="A17:C17"/>
    <mergeCell ref="D18:F18"/>
    <mergeCell ref="D9:F9"/>
    <mergeCell ref="A22:F22"/>
    <mergeCell ref="A4:F4"/>
    <mergeCell ref="D8:F8"/>
    <mergeCell ref="D15:F15"/>
    <mergeCell ref="A29:F29"/>
    <mergeCell ref="A19:C19"/>
    <mergeCell ref="A28:F28"/>
    <mergeCell ref="D5:F5"/>
    <mergeCell ref="D23:F23"/>
    <mergeCell ref="A9:C9"/>
    <mergeCell ref="A15:C15"/>
    <mergeCell ref="A30:F30"/>
    <mergeCell ref="D19:F19"/>
    <mergeCell ref="A11:C11"/>
    <mergeCell ref="A1:F1"/>
    <mergeCell ref="A6:C6"/>
    <mergeCell ref="D6:F6"/>
    <mergeCell ref="A16:C16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5" customWidth="1" style="58" min="1" max="1"/>
    <col width="16" customWidth="1" style="58" min="2" max="2"/>
    <col width="14" customWidth="1" style="58" min="3" max="3"/>
    <col width="40" customWidth="1" style="58" min="4" max="4"/>
  </cols>
  <sheetData>
    <row r="1" ht="31.5" customHeight="1" s="59">
      <c r="A1" s="60" t="inlineStr">
        <is>
          <t>🚗 차량 정보 + km당 비용 모델</t>
        </is>
      </c>
    </row>
    <row r="3" ht="17.9" customHeight="1" s="59">
      <c r="A3" s="62" t="inlineStr">
        <is>
          <t>⚙️ 차량 기본 정보 (노란 셀 = 수정 가능)</t>
        </is>
      </c>
    </row>
    <row r="4" ht="15" customHeight="1" s="59">
      <c r="A4" s="67" t="inlineStr">
        <is>
          <t>차종</t>
        </is>
      </c>
      <c r="B4" s="74" t="inlineStr">
        <is>
          <t>Citroen Grand C4 Picasso 2012</t>
        </is>
      </c>
    </row>
    <row r="5" ht="15" customHeight="1" s="59">
      <c r="A5" s="67" t="inlineStr">
        <is>
          <t>현재 주행거리 (km)</t>
        </is>
      </c>
      <c r="B5" s="75" t="n">
        <v>180000</v>
      </c>
    </row>
    <row r="6" ht="15" customHeight="1" s="59">
      <c r="A6" s="67" t="inlineStr">
        <is>
          <t>차량 구매가 (€)</t>
        </is>
      </c>
      <c r="B6" s="76" t="n">
        <v>3750</v>
      </c>
    </row>
    <row r="7" ht="15" customHeight="1" s="59">
      <c r="A7" s="67" t="inlineStr">
        <is>
          <t>연비 (km/L)</t>
        </is>
      </c>
      <c r="B7" s="77" t="n">
        <v>16</v>
      </c>
    </row>
    <row r="8" ht="15" customHeight="1" s="59">
      <c r="A8" s="67" t="inlineStr">
        <is>
          <t>연료 가격 (€/L)</t>
        </is>
      </c>
      <c r="B8" s="78" t="n">
        <v>2</v>
      </c>
    </row>
    <row r="9" ht="15" customHeight="1" s="59">
      <c r="A9" s="67" t="inlineStr">
        <is>
          <t>연 보험료 (€)</t>
        </is>
      </c>
      <c r="B9" s="76" t="n">
        <v>1297</v>
      </c>
    </row>
    <row r="10" ht="15" customHeight="1" s="59">
      <c r="A10" s="67" t="inlineStr">
        <is>
          <t>연 Motor Tax (€)</t>
        </is>
      </c>
      <c r="B10" s="76" t="n">
        <v>280</v>
      </c>
    </row>
    <row r="11" ht="15" customHeight="1" s="59">
      <c r="A11" s="79" t="inlineStr">
        <is>
          <t>NCT (격년 → 연 평균 €)</t>
        </is>
      </c>
      <c r="B11" s="76" t="n">
        <v>56</v>
      </c>
    </row>
    <row r="12" ht="15" customHeight="1" s="59">
      <c r="A12" s="67" t="inlineStr">
        <is>
          <t>연 정기 정비/소모품 충당 (€)</t>
        </is>
      </c>
      <c r="B12" s="76" t="n">
        <v>2500</v>
      </c>
    </row>
    <row r="13" ht="15" customHeight="1" s="59">
      <c r="A13" s="67" t="inlineStr">
        <is>
          <t>연 큰수리 예비비 (€)</t>
        </is>
      </c>
      <c r="B13" s="76" t="n">
        <v>2000</v>
      </c>
    </row>
    <row r="14" ht="15" customHeight="1" s="59">
      <c r="A14" s="67" t="inlineStr">
        <is>
          <t>잔여 차량 수명 (km)</t>
        </is>
      </c>
      <c r="B14" s="75" t="n">
        <v>120000</v>
      </c>
    </row>
    <row r="15" ht="15" customHeight="1" s="59">
      <c r="A15" s="67" t="inlineStr">
        <is>
          <t>연 추정 운행 (km)</t>
        </is>
      </c>
      <c r="B15" s="75" t="n">
        <v>15000</v>
      </c>
    </row>
    <row r="16" ht="15" customHeight="1" s="59">
      <c r="A16" s="67" t="inlineStr">
        <is>
          <t>내 시간당 단가 (€)</t>
        </is>
      </c>
      <c r="B16" s="76" t="n">
        <v>15</v>
      </c>
    </row>
    <row r="17" ht="15" customHeight="1" s="59">
      <c r="A17" s="67" t="inlineStr">
        <is>
          <t>이사 노동 시간당 단가 (€)</t>
        </is>
      </c>
      <c r="B17" s="76" t="n">
        <v>20</v>
      </c>
    </row>
    <row r="18" ht="15" customHeight="1" s="59">
      <c r="A18" s="67" t="inlineStr">
        <is>
          <t>톨/주차 평균 km당 (€)</t>
        </is>
      </c>
      <c r="B18" s="78" t="n">
        <v>0.04</v>
      </c>
    </row>
    <row r="19" ht="15" customHeight="1" s="59">
      <c r="A19" s="67" t="inlineStr">
        <is>
          <t>차량 길이 (mm)</t>
        </is>
      </c>
      <c r="B19" s="75" t="n">
        <v>4602</v>
      </c>
    </row>
    <row r="20" ht="15" customHeight="1" s="59">
      <c r="A20" s="67" t="inlineStr">
        <is>
          <t>차량 폭 (mm)</t>
        </is>
      </c>
      <c r="B20" s="75" t="n">
        <v>1826</v>
      </c>
    </row>
    <row r="21" ht="15" customHeight="1" s="59">
      <c r="A21" s="67" t="inlineStr">
        <is>
          <t>차량 좌석 수</t>
        </is>
      </c>
      <c r="B21" s="80" t="n">
        <v>7</v>
      </c>
    </row>
    <row r="22" ht="15" customHeight="1" s="59">
      <c r="A22" s="67" t="inlineStr">
        <is>
          <t>부트 적재 (5인승 모드, L)</t>
        </is>
      </c>
      <c r="B22" s="75" t="n">
        <v>645</v>
      </c>
    </row>
    <row r="23" ht="15" customHeight="1" s="59">
      <c r="A23" s="67" t="inlineStr">
        <is>
          <t>부트 적재 (3열 접음, L)</t>
        </is>
      </c>
      <c r="B23" s="75" t="n">
        <v>1800</v>
      </c>
    </row>
    <row r="26" ht="17.9" customHeight="1" s="59">
      <c r="A26" s="81" t="inlineStr">
        <is>
          <t>📊 km당 비용 모델 (자동 계산)</t>
        </is>
      </c>
    </row>
    <row r="27" ht="15" customHeight="1" s="59">
      <c r="A27" s="82" t="inlineStr">
        <is>
          <t>항목</t>
        </is>
      </c>
      <c r="B27" s="82" t="inlineStr">
        <is>
          <t>연 (€)</t>
        </is>
      </c>
      <c r="C27" s="83" t="inlineStr">
        <is>
          <t>km당 (€)</t>
        </is>
      </c>
      <c r="D27" s="82" t="inlineStr">
        <is>
          <t>메모</t>
        </is>
      </c>
    </row>
    <row r="28" ht="15" customHeight="1" s="59">
      <c r="A28" s="84" t="inlineStr">
        <is>
          <t>연료</t>
        </is>
      </c>
      <c r="B28" s="85" t="n"/>
      <c r="C28" s="86">
        <f>B8/B7</f>
        <v/>
      </c>
      <c r="D28" s="87" t="inlineStr">
        <is>
          <t>€2/L ÷ 16km/L = km당 연료비</t>
        </is>
      </c>
    </row>
    <row r="29" ht="15" customHeight="1" s="59">
      <c r="A29" s="84" t="inlineStr">
        <is>
          <t>톨/주차 평균</t>
        </is>
      </c>
      <c r="B29" s="85" t="n"/>
      <c r="C29" s="86">
        <f>B18</f>
        <v/>
      </c>
      <c r="D29" s="88" t="inlineStr">
        <is>
          <t>장거리 평균 추정값</t>
        </is>
      </c>
    </row>
    <row r="30" ht="15" customHeight="1" s="59">
      <c r="A30" s="84" t="inlineStr">
        <is>
          <t>보험</t>
        </is>
      </c>
      <c r="B30" s="89">
        <f>B9</f>
        <v/>
      </c>
      <c r="C30" s="86">
        <f>B9/B15</f>
        <v/>
      </c>
      <c r="D30" s="88" t="n"/>
    </row>
    <row r="31" ht="15" customHeight="1" s="59">
      <c r="A31" s="90" t="inlineStr">
        <is>
          <t>Motor Tax</t>
        </is>
      </c>
      <c r="B31" s="89">
        <f>B10</f>
        <v/>
      </c>
      <c r="C31" s="86">
        <f>B10/B15</f>
        <v/>
      </c>
      <c r="D31" s="88" t="n"/>
    </row>
    <row r="32" ht="15" customHeight="1" s="59">
      <c r="A32" s="90" t="inlineStr">
        <is>
          <t>NCT (연 평균)</t>
        </is>
      </c>
      <c r="B32" s="89">
        <f>B11</f>
        <v/>
      </c>
      <c r="C32" s="86">
        <f>B11/B15</f>
        <v/>
      </c>
      <c r="D32" s="88" t="inlineStr">
        <is>
          <t>격년 평균</t>
        </is>
      </c>
    </row>
    <row r="33" ht="15" customHeight="1" s="59">
      <c r="A33" s="84" t="inlineStr">
        <is>
          <t>정기 정비/소모품</t>
        </is>
      </c>
      <c r="B33" s="89">
        <f>B12</f>
        <v/>
      </c>
      <c r="C33" s="86">
        <f>B12/B15</f>
        <v/>
      </c>
      <c r="D33" s="88" t="inlineStr">
        <is>
          <t>오일·타이어·브레이크 충당</t>
        </is>
      </c>
    </row>
    <row r="34" ht="15" customHeight="1" s="59">
      <c r="A34" s="84" t="inlineStr">
        <is>
          <t>큰수리 예비</t>
        </is>
      </c>
      <c r="B34" s="89">
        <f>B13</f>
        <v/>
      </c>
      <c r="C34" s="86">
        <f>B13/B15</f>
        <v/>
      </c>
      <c r="D34" s="87" t="inlineStr">
        <is>
          <t>18만 km 디젤 — 터보·DPF·클러치 충당</t>
        </is>
      </c>
    </row>
    <row r="35" ht="15" customHeight="1" s="59">
      <c r="A35" s="84" t="inlineStr">
        <is>
          <t>감가상각</t>
        </is>
      </c>
      <c r="B35" s="85" t="n"/>
      <c r="C35" s="86">
        <f>B6/B14</f>
        <v/>
      </c>
      <c r="D35" s="88" t="inlineStr">
        <is>
          <t>구매가 ÷ 잔여 수명</t>
        </is>
      </c>
    </row>
    <row r="36" ht="15" customHeight="1" s="59">
      <c r="A36" s="91" t="inlineStr">
        <is>
          <t xml:space="preserve">   ↳ 변동비 소계</t>
        </is>
      </c>
      <c r="C36" s="70">
        <f>C28+C29</f>
        <v/>
      </c>
      <c r="D36" s="92" t="inlineStr">
        <is>
          <t>연료 + 톨/주차</t>
        </is>
      </c>
    </row>
    <row r="37" ht="15" customHeight="1" s="59">
      <c r="A37" s="91" t="inlineStr">
        <is>
          <t xml:space="preserve">   ↳ 고정·마모·감가 소계</t>
        </is>
      </c>
      <c r="C37" s="70">
        <f>SUM(C30:C35)</f>
        <v/>
      </c>
      <c r="D37" s="92" t="inlineStr">
        <is>
          <t>보험·세금·정비·큰수리·감가</t>
        </is>
      </c>
    </row>
    <row r="38" ht="15" customHeight="1" s="59">
      <c r="A38" s="93" t="inlineStr">
        <is>
          <t>🟦 진짜 km당 실비 (적자 분기점)</t>
        </is>
      </c>
      <c r="C38" s="94">
        <f>C36+C37</f>
        <v/>
      </c>
      <c r="D38" s="95" t="n"/>
    </row>
    <row r="39" ht="15" customHeight="1" s="59">
      <c r="A39" s="91" t="inlineStr">
        <is>
          <t xml:space="preserve">   ↳ 마모/감가만 (어제 같은 트립에 사용)</t>
        </is>
      </c>
      <c r="C39" s="96">
        <f>C37</f>
        <v/>
      </c>
      <c r="D39" s="92" t="inlineStr">
        <is>
          <t>친구 보조금 계산용</t>
        </is>
      </c>
    </row>
  </sheetData>
  <mergeCells count="3">
    <mergeCell ref="A1:D1"/>
    <mergeCell ref="A3:D3"/>
    <mergeCell ref="A26:D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58" min="1" max="1"/>
    <col width="16" customWidth="1" style="58" min="2" max="2"/>
    <col width="22" customWidth="1" style="58" min="3" max="4"/>
    <col width="35" customWidth="1" style="58" min="5" max="5"/>
  </cols>
  <sheetData>
    <row r="1" ht="31.5" customHeight="1" s="59">
      <c r="A1" s="60" t="inlineStr">
        <is>
          <t>💰 가격 가이드 v2 (2026-04 / IKEA Tier A 분리)</t>
        </is>
      </c>
    </row>
    <row r="3" ht="17.9" customHeight="1" s="59">
      <c r="A3" s="62" t="inlineStr">
        <is>
          <t>🚗 이동 모드 (네가 일하러 움직임)</t>
        </is>
      </c>
    </row>
    <row r="4" ht="15" customHeight="1" s="59">
      <c r="A4" s="82" t="inlineStr">
        <is>
          <t>서비스</t>
        </is>
      </c>
      <c r="B4" s="82" t="inlineStr">
        <is>
          <t>권장가 (€)</t>
        </is>
      </c>
      <c r="C4" s="83" t="inlineStr">
        <is>
          <t>Red Door 비교</t>
        </is>
      </c>
      <c r="D4" s="82" t="inlineStr">
        <is>
          <t>시간 (h)</t>
        </is>
      </c>
      <c r="E4" s="82" t="inlineStr">
        <is>
          <t>메모</t>
        </is>
      </c>
    </row>
    <row r="5" ht="15" customHeight="1" s="59">
      <c r="A5" s="84" t="inlineStr">
        <is>
          <t>시내 픽업/샌딩 (D1–D8)</t>
        </is>
      </c>
      <c r="B5" s="97" t="n">
        <v>45</v>
      </c>
      <c r="C5" s="87" t="inlineStr">
        <is>
          <t>−€5 (Red Door €50)</t>
        </is>
      </c>
      <c r="D5" s="98" t="n">
        <v>1.25</v>
      </c>
      <c r="E5" s="88" t="inlineStr">
        <is>
          <t>톨·1h 대기 포함</t>
        </is>
      </c>
    </row>
    <row r="6" ht="15" customHeight="1" s="59">
      <c r="A6" s="84" t="inlineStr">
        <is>
          <t>외곽 (D6W·D9·D15·D24)</t>
        </is>
      </c>
      <c r="B6" s="99" t="inlineStr">
        <is>
          <t>50–55</t>
        </is>
      </c>
      <c r="C6" s="88" t="inlineStr">
        <is>
          <t>무경쟁</t>
        </is>
      </c>
      <c r="D6" s="98" t="n">
        <v>1.5</v>
      </c>
      <c r="E6" s="87" t="inlineStr">
        <is>
          <t>12km 초과분 €1.5/km</t>
        </is>
      </c>
    </row>
    <row r="7" ht="15" customHeight="1" s="59">
      <c r="A7" s="90" t="inlineStr">
        <is>
          <t>Maynooth/Lucan (~25km)</t>
        </is>
      </c>
      <c r="B7" s="97" t="n">
        <v>65</v>
      </c>
      <c r="C7" s="88" t="inlineStr">
        <is>
          <t>무경쟁</t>
        </is>
      </c>
      <c r="D7" s="98" t="n">
        <v>2</v>
      </c>
      <c r="E7" s="88" t="n"/>
    </row>
    <row r="8" ht="15" customHeight="1" s="59">
      <c r="A8" s="90" t="inlineStr">
        <is>
          <t>Bray/Greystones (~25–35km)</t>
        </is>
      </c>
      <c r="B8" s="99" t="inlineStr">
        <is>
          <t>65–80</t>
        </is>
      </c>
      <c r="C8" s="88" t="inlineStr">
        <is>
          <t>무경쟁</t>
        </is>
      </c>
      <c r="D8" s="98" t="n">
        <v>2</v>
      </c>
      <c r="E8" s="88" t="n"/>
    </row>
    <row r="9" ht="15" customHeight="1" s="59">
      <c r="A9" s="90" t="inlineStr">
        <is>
          <t>Drogheda (50km)</t>
        </is>
      </c>
      <c r="B9" s="97" t="n">
        <v>100</v>
      </c>
      <c r="C9" s="88" t="inlineStr">
        <is>
          <t>무경쟁</t>
        </is>
      </c>
      <c r="D9" s="98" t="n">
        <v>2.5</v>
      </c>
      <c r="E9" s="88" t="n"/>
    </row>
    <row r="10" ht="15" customHeight="1" s="59">
      <c r="A10" s="90" t="inlineStr">
        <is>
          <t>Wicklow Town (50km)</t>
        </is>
      </c>
      <c r="B10" s="97" t="n">
        <v>100</v>
      </c>
      <c r="C10" s="88" t="inlineStr">
        <is>
          <t>무경쟁</t>
        </is>
      </c>
      <c r="D10" s="98" t="n">
        <v>2.5</v>
      </c>
      <c r="E10" s="88" t="n"/>
    </row>
    <row r="11" ht="15" customHeight="1" s="59">
      <c r="A11" s="84" t="inlineStr">
        <is>
          <t>지방 (Belfast/Galway/Cork)</t>
        </is>
      </c>
      <c r="B11" s="100" t="inlineStr">
        <is>
          <t>별도 견적</t>
        </is>
      </c>
      <c r="C11" s="88" t="inlineStr">
        <is>
          <t>무경쟁</t>
        </is>
      </c>
      <c r="D11" s="98" t="inlineStr">
        <is>
          <t>4+</t>
        </is>
      </c>
      <c r="E11" s="87" t="inlineStr">
        <is>
          <t>km × €1.5 + 시간 × €15</t>
        </is>
      </c>
    </row>
    <row r="12" ht="15" customHeight="1" s="59">
      <c r="A12" s="84" t="inlineStr">
        <is>
          <t>야간/새벽 (22–06시)</t>
        </is>
      </c>
      <c r="B12" s="99" t="inlineStr">
        <is>
          <t>+€10</t>
        </is>
      </c>
      <c r="C12" s="88" t="n"/>
      <c r="D12" s="98" t="n"/>
      <c r="E12" s="88" t="inlineStr">
        <is>
          <t>모든 픽업 공통</t>
        </is>
      </c>
    </row>
    <row r="13" ht="15" customHeight="1" s="59">
      <c r="A13" s="84" t="inlineStr">
        <is>
          <t>공휴일</t>
        </is>
      </c>
      <c r="B13" s="99" t="inlineStr">
        <is>
          <t>+€10</t>
        </is>
      </c>
      <c r="C13" s="88" t="n"/>
      <c r="D13" s="98" t="n"/>
      <c r="E13" s="88" t="n"/>
    </row>
    <row r="14" ht="15" customHeight="1" s="59">
      <c r="A14" s="84" t="inlineStr">
        <is>
          <t>시내 짐 운송 (1h, 캐리어/박스)</t>
        </is>
      </c>
      <c r="B14" s="97" t="n">
        <v>40</v>
      </c>
      <c r="C14" s="87" t="inlineStr">
        <is>
          <t>−€5 (Red Door €45)</t>
        </is>
      </c>
      <c r="D14" s="98" t="n">
        <v>1</v>
      </c>
      <c r="E14" s="88" t="n"/>
    </row>
    <row r="15" ht="15" customHeight="1" s="59">
      <c r="A15" s="90" t="inlineStr">
        <is>
          <t>IKEA Tier A — Zone 1: IKEA 0–10km (시내·D9·D15)</t>
        </is>
      </c>
      <c r="B15" s="97" t="n">
        <v>50</v>
      </c>
      <c r="C15" s="87" t="inlineStr">
        <is>
          <t>vs Man with a Van €60+</t>
        </is>
      </c>
      <c r="D15" s="98" t="n">
        <v>1.5</v>
      </c>
      <c r="E15" s="88" t="inlineStr">
        <is>
          <t>대표: D1–D8</t>
        </is>
      </c>
    </row>
    <row r="16" ht="15" customHeight="1" s="59">
      <c r="A16" s="90" t="inlineStr">
        <is>
          <t>IKEA Tier A — Zone 2: IKEA 10–20km (D24·Tallaght·Lucan)</t>
        </is>
      </c>
      <c r="B16" s="97" t="n">
        <v>60</v>
      </c>
      <c r="C16" s="88" t="inlineStr">
        <is>
          <t>무경쟁</t>
        </is>
      </c>
      <c r="D16" s="98" t="n">
        <v>1.75</v>
      </c>
      <c r="E16" s="88" t="n"/>
    </row>
    <row r="17" ht="15" customHeight="1" s="59">
      <c r="A17" s="90" t="inlineStr">
        <is>
          <t>IKEA Tier A — Zone 3: IKEA 20–30km (Maynooth·Bray)</t>
        </is>
      </c>
      <c r="B17" s="97" t="n">
        <v>75</v>
      </c>
      <c r="C17" s="88" t="inlineStr">
        <is>
          <t>무경쟁</t>
        </is>
      </c>
      <c r="D17" s="98" t="n">
        <v>2</v>
      </c>
      <c r="E17" s="88" t="n"/>
    </row>
    <row r="18" ht="15" customHeight="1" s="59">
      <c r="A18" s="90" t="inlineStr">
        <is>
          <t>IKEA Tier A — Zone 4: IKEA 30–50km (Drogheda·Naas·Wicklow Town)</t>
        </is>
      </c>
      <c r="B18" s="97" t="n">
        <v>100</v>
      </c>
      <c r="C18" s="88" t="inlineStr">
        <is>
          <t>무경쟁</t>
        </is>
      </c>
      <c r="D18" s="98" t="n">
        <v>2.5</v>
      </c>
      <c r="E18" s="88" t="n"/>
    </row>
    <row r="19" ht="15" customHeight="1" s="59">
      <c r="A19" s="90" t="inlineStr">
        <is>
          <t>IKEA Tier A — Zone 5: IKEA 50km+</t>
        </is>
      </c>
      <c r="B19" s="100" t="inlineStr">
        <is>
          <t>별도 견적</t>
        </is>
      </c>
      <c r="C19" s="88" t="inlineStr">
        <is>
          <t>무경쟁</t>
        </is>
      </c>
      <c r="D19" s="98" t="inlineStr">
        <is>
          <t>3+</t>
        </is>
      </c>
      <c r="E19" s="87" t="inlineStr">
        <is>
          <t>€50 + (거리−10)×€2</t>
        </is>
      </c>
    </row>
    <row r="20" ht="15" customHeight="1" s="59">
      <c r="A20" s="90" t="inlineStr">
        <is>
          <t>IKEA Tier B·C (동행 + 큰 가구)</t>
        </is>
      </c>
      <c r="B20" s="99" t="inlineStr">
        <is>
          <t>TBD</t>
        </is>
      </c>
      <c r="C20" s="88" t="inlineStr">
        <is>
          <t>추후</t>
        </is>
      </c>
      <c r="D20" s="98" t="inlineStr">
        <is>
          <t>—</t>
        </is>
      </c>
      <c r="E20" s="88" t="inlineStr">
        <is>
          <t>검증 후 v3 추가</t>
        </is>
      </c>
    </row>
    <row r="21" ht="15" customHeight="1" s="59">
      <c r="A21" s="84" t="inlineStr">
        <is>
          <t>큰 장보기 (Costco/Lidl)</t>
        </is>
      </c>
      <c r="B21" s="97" t="n">
        <v>40</v>
      </c>
      <c r="C21" s="88" t="inlineStr">
        <is>
          <t>무경쟁</t>
        </is>
      </c>
      <c r="D21" s="98" t="n">
        <v>1.5</v>
      </c>
      <c r="E21" s="88" t="n"/>
    </row>
    <row r="22" ht="15" customHeight="1" s="59">
      <c r="A22" s="84" t="inlineStr">
        <is>
          <t>소형 이사 1bed (4h, 고객 도움)</t>
        </is>
      </c>
      <c r="B22" s="99" t="inlineStr">
        <is>
          <t>130–150</t>
        </is>
      </c>
      <c r="C22" s="88" t="inlineStr">
        <is>
          <t>무경쟁</t>
        </is>
      </c>
      <c r="D22" s="98" t="n">
        <v>4</v>
      </c>
      <c r="E22" s="88" t="n"/>
    </row>
    <row r="23" ht="15" customHeight="1" s="59">
      <c r="A23" s="84" t="inlineStr">
        <is>
          <t>소형 이사 1bed (4h, 너 단독)</t>
        </is>
      </c>
      <c r="B23" s="99" t="inlineStr">
        <is>
          <t>180–220</t>
        </is>
      </c>
      <c r="C23" s="88" t="inlineStr">
        <is>
          <t>무경쟁</t>
        </is>
      </c>
      <c r="D23" s="98" t="n">
        <v>4</v>
      </c>
      <c r="E23" s="88" t="n"/>
    </row>
    <row r="24" ht="15" customHeight="1" s="59">
      <c r="A24" s="84" t="inlineStr">
        <is>
          <t>시간 초과</t>
        </is>
      </c>
      <c r="B24" s="99" t="inlineStr">
        <is>
          <t>+€20/h</t>
        </is>
      </c>
      <c r="C24" s="88" t="n"/>
      <c r="D24" s="98" t="n"/>
      <c r="E24" s="87" t="inlineStr">
        <is>
          <t>4h 초과 시 명시</t>
        </is>
      </c>
    </row>
    <row r="26" ht="17.9" customHeight="1" s="59">
      <c r="A26" s="62" t="inlineStr">
        <is>
          <t>🌿 여행 모드 (km × €/km × 인원)</t>
        </is>
      </c>
    </row>
    <row r="27" ht="15" customHeight="1" s="59">
      <c r="A27" s="82" t="inlineStr">
        <is>
          <t>티어</t>
        </is>
      </c>
      <c r="B27" s="83" t="inlineStr">
        <is>
          <t>km당 1인 (€)</t>
        </is>
      </c>
      <c r="C27" s="83" t="inlineStr">
        <is>
          <t>4명 그룹 200km 시 1인 (€)</t>
        </is>
      </c>
      <c r="D27" s="83" t="inlineStr">
        <is>
          <t>6명 그룹 200km 시 1인 (€)</t>
        </is>
      </c>
      <c r="E27" s="82" t="inlineStr">
        <is>
          <t>메모</t>
        </is>
      </c>
    </row>
    <row r="28" ht="15" customHeight="1" s="59">
      <c r="A28" s="91" t="inlineStr">
        <is>
          <t>🟢 절친 (Tier 1)</t>
        </is>
      </c>
      <c r="B28" s="101" t="n">
        <v>0.15</v>
      </c>
      <c r="C28" s="102">
        <f>B28*200</f>
        <v/>
      </c>
      <c r="D28" s="102">
        <f>B28*200</f>
        <v/>
      </c>
      <c r="E28" s="88" t="inlineStr">
        <is>
          <t>의도된 보조금 + 친구 모드</t>
        </is>
      </c>
    </row>
    <row r="29" ht="15" customHeight="1" s="59">
      <c r="A29" s="91" t="inlineStr">
        <is>
          <t>🟡 친구 (Tier 2)</t>
        </is>
      </c>
      <c r="B29" s="101" t="n">
        <v>0.2</v>
      </c>
      <c r="C29" s="102">
        <f>B29*200</f>
        <v/>
      </c>
      <c r="D29" s="102">
        <f>B29*200</f>
        <v/>
      </c>
      <c r="E29" s="88" t="inlineStr">
        <is>
          <t>정직한 분담 + 너 흑자 약간</t>
        </is>
      </c>
    </row>
    <row r="30" ht="15" customHeight="1" s="59">
      <c r="A30" s="91" t="inlineStr">
        <is>
          <t>🟠 지인 (Tier 3)</t>
        </is>
      </c>
      <c r="B30" s="101" t="n">
        <v>0.25</v>
      </c>
      <c r="C30" s="102">
        <f>B30*200</f>
        <v/>
      </c>
      <c r="D30" s="102">
        <f>B30*200</f>
        <v/>
      </c>
      <c r="E30" s="88" t="inlineStr">
        <is>
          <t>시장가, 너 흑자 60%+</t>
        </is>
      </c>
    </row>
    <row r="32" ht="15" customHeight="1" s="59">
      <c r="A32" s="103" t="inlineStr">
        <is>
          <t>📝 여행 모드 노트:</t>
        </is>
      </c>
    </row>
    <row r="33" ht="15" customHeight="1" s="59">
      <c r="A33" s="104" t="inlineStr">
        <is>
          <t xml:space="preserve">  • 식비·입장료·숙박 모두 별도 (각자)</t>
        </is>
      </c>
    </row>
    <row r="34" ht="15" customHeight="1" s="59">
      <c r="A34" s="105" t="inlineStr">
        <is>
          <t xml:space="preserve">  • 5명+ 그룹은 km당 −€0.05 할인 가능 (협의)</t>
        </is>
      </c>
    </row>
    <row r="35" ht="15" customHeight="1" s="59">
      <c r="A35" s="104" t="inlineStr">
        <is>
          <t xml:space="preserve">  • 합류·하차 시점이 다르면 구간별 가중 평균 적용</t>
        </is>
      </c>
    </row>
    <row r="36" ht="15" customHeight="1" s="59">
      <c r="A36" s="104" t="inlineStr">
        <is>
          <t xml:space="preserve">  • 가격은 1:1 카톡으로만 공유, 외부 광고 X</t>
        </is>
      </c>
    </row>
    <row r="37" ht="15" customHeight="1" s="59">
      <c r="A37" s="103" t="n"/>
    </row>
    <row r="38" ht="15" customHeight="1" s="59">
      <c r="A38" s="106" t="inlineStr">
        <is>
          <t>📝 IKEA Tier A 노트 (운송만, 1.5h):</t>
        </is>
      </c>
    </row>
    <row r="39" ht="15" customHeight="1" s="59">
      <c r="A39" s="104" t="inlineStr">
        <is>
          <t xml:space="preserve">  • 거리 = IKEA Ballymun → 손님 집까지의 km</t>
        </is>
      </c>
    </row>
    <row r="40" ht="15" customHeight="1" s="59">
      <c r="A40" s="105" t="inlineStr">
        <is>
          <t xml:space="preserve">  • Zone 1 (0–10km): D1–D8, D9, D15 대부분</t>
        </is>
      </c>
    </row>
    <row r="41" ht="15" customHeight="1" s="59">
      <c r="A41" s="105" t="inlineStr">
        <is>
          <t xml:space="preserve">  • Zone 2 (10–20km): D24, Tallaght, Lucan, Howth</t>
        </is>
      </c>
    </row>
    <row r="42" ht="15" customHeight="1" s="59">
      <c r="A42" s="105" t="inlineStr">
        <is>
          <t xml:space="preserve">  • Zone 3 (20–30km): Maynooth, Bray, Greystones</t>
        </is>
      </c>
    </row>
    <row r="43" ht="15" customHeight="1" s="59">
      <c r="A43" s="105" t="inlineStr">
        <is>
          <t xml:space="preserve">  • Zone 4 (30–50km): Drogheda, Naas, Wicklow Town</t>
        </is>
      </c>
    </row>
    <row r="44" ht="15" customHeight="1" s="59">
      <c r="A44" s="105" t="inlineStr">
        <is>
          <t xml:space="preserve">  • Zone 5 (50km+): 별도 견적 = €50 + (거리−10)×€2</t>
        </is>
      </c>
    </row>
    <row r="45" ht="15" customHeight="1" s="59">
      <c r="A45" s="106" t="n"/>
    </row>
    <row r="46" ht="15" customHeight="1" s="59">
      <c r="A46" s="103" t="inlineStr">
        <is>
          <t>📦 차량 적재량 (Citroen Grand C4 Picasso 2012):</t>
        </is>
      </c>
    </row>
    <row r="47" ht="15" customHeight="1" s="59">
      <c r="A47" s="105" t="inlineStr">
        <is>
          <t xml:space="preserve">  • 5인승 모드 부트 645L = IKEA 1–2회 일반 쇼핑 OK</t>
        </is>
      </c>
    </row>
    <row r="48" ht="15" customHeight="1" s="59">
      <c r="A48" s="105" t="inlineStr">
        <is>
          <t xml:space="preserve">  • 3열 좌석 접으면 1,800L = 침대·옷장·책장 1회 운반</t>
        </is>
      </c>
    </row>
    <row r="49" ht="15" customHeight="1" s="59">
      <c r="A49" s="104" t="inlineStr">
        <is>
          <t xml:space="preserve">  • 차량 길이 4.6m · 폭 1.8m → 박스 길이 ~2.1m까지 가능</t>
        </is>
      </c>
    </row>
    <row r="50" ht="15" customHeight="1" s="59">
      <c r="A50" s="104" t="inlineStr">
        <is>
          <t xml:space="preserve">  • 적재 초과 시 2회 운반 (×2 가격) 또는 Tier C 협의</t>
        </is>
      </c>
    </row>
    <row r="51" ht="15" customHeight="1" s="59">
      <c r="A51" s="106" t="n"/>
    </row>
    <row r="52" ht="15" customHeight="1" s="59">
      <c r="A52" s="103" t="inlineStr">
        <is>
          <t>📝 차별화 4가지:</t>
        </is>
      </c>
    </row>
    <row r="53" ht="15" customHeight="1" s="59">
      <c r="A53" s="105" t="inlineStr">
        <is>
          <t xml:space="preserve">  • 7인승 MPV (1,800L 적재) = Red Door CR-V 대비 +1자리 + 짐 1.5–2배</t>
        </is>
      </c>
    </row>
    <row r="54" ht="15" customHeight="1" s="59">
      <c r="A54" s="104" t="inlineStr">
        <is>
          <t xml:space="preserve">  • 외곽·지방 픽업 가능 = Red Door 미진출 영역</t>
        </is>
      </c>
    </row>
    <row r="55" ht="15" customHeight="1" s="59">
      <c r="A55" s="104" t="inlineStr">
        <is>
          <t xml:space="preserve">  • 첫날 정착 도움 (한인마트·심카드·환전 카톡 안내)</t>
        </is>
      </c>
    </row>
    <row r="56" ht="15" customHeight="1" s="59">
      <c r="A56" s="105" t="inlineStr">
        <is>
          <t xml:space="preserve">  • 4년차 더블린 한인 + 무료 워킹투어 운영자 신뢰</t>
        </is>
      </c>
    </row>
  </sheetData>
  <mergeCells count="28">
    <mergeCell ref="A39:E39"/>
    <mergeCell ref="A34:E34"/>
    <mergeCell ref="A48:E48"/>
    <mergeCell ref="A49:E49"/>
    <mergeCell ref="A51:E51"/>
    <mergeCell ref="A1:E1"/>
    <mergeCell ref="A45:E45"/>
    <mergeCell ref="A36:E36"/>
    <mergeCell ref="A54:E54"/>
    <mergeCell ref="A41:E41"/>
    <mergeCell ref="A37:E37"/>
    <mergeCell ref="A46:E46"/>
    <mergeCell ref="A56:E56"/>
    <mergeCell ref="A3:E3"/>
    <mergeCell ref="A55:E55"/>
    <mergeCell ref="A50:E50"/>
    <mergeCell ref="A26:E26"/>
    <mergeCell ref="A42:E42"/>
    <mergeCell ref="A33:E33"/>
    <mergeCell ref="A47:E47"/>
    <mergeCell ref="A32:E32"/>
    <mergeCell ref="A53:E53"/>
    <mergeCell ref="A35:E35"/>
    <mergeCell ref="A43:E43"/>
    <mergeCell ref="A38:E38"/>
    <mergeCell ref="A52:E52"/>
    <mergeCell ref="A44:E44"/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58" min="1" max="1"/>
    <col width="16" customWidth="1" style="58" min="2" max="2"/>
    <col width="8" customWidth="1" style="58" min="3" max="4"/>
    <col width="11" customWidth="1" style="58" min="5" max="5"/>
    <col width="9" customWidth="1" style="58" min="6" max="6"/>
    <col width="10" customWidth="1" style="58" min="7" max="7"/>
    <col width="11" customWidth="1" style="58" min="8" max="9"/>
    <col width="12" customWidth="1" style="58" min="10" max="10"/>
    <col width="14" customWidth="1" style="58" min="11" max="13"/>
    <col width="30" customWidth="1" style="58" min="14" max="14"/>
  </cols>
  <sheetData>
    <row r="1" ht="31.5" customHeight="1" s="59">
      <c r="A1" s="60" t="inlineStr">
        <is>
          <t>🌿 여행 기록부 — 친구·지인 1일 여행</t>
        </is>
      </c>
    </row>
    <row r="3" ht="15" customHeight="1" s="59">
      <c r="A3" s="61" t="inlineStr">
        <is>
          <t>👇 노란 셀에 입력 → 회색 셀은 자동 계산</t>
        </is>
      </c>
    </row>
    <row r="4" ht="15" customHeight="1" s="59">
      <c r="A4" s="82" t="inlineStr">
        <is>
          <t>일자</t>
        </is>
      </c>
      <c r="B4" s="82" t="inlineStr">
        <is>
          <t>목적지</t>
        </is>
      </c>
      <c r="C4" s="83" t="inlineStr">
        <is>
          <t>km</t>
        </is>
      </c>
      <c r="D4" s="82" t="inlineStr">
        <is>
          <t>시간(h)</t>
        </is>
      </c>
      <c r="E4" s="82" t="inlineStr">
        <is>
          <t>연료(€)</t>
        </is>
      </c>
      <c r="F4" s="82" t="inlineStr">
        <is>
          <t>톨(€)</t>
        </is>
      </c>
      <c r="G4" s="82" t="inlineStr">
        <is>
          <t>주차(€)</t>
        </is>
      </c>
      <c r="H4" s="82" t="inlineStr">
        <is>
          <t>인원(친구)</t>
        </is>
      </c>
      <c r="I4" s="82" t="inlineStr">
        <is>
          <t>티어 (1/2/3)</t>
        </is>
      </c>
      <c r="J4" s="82" t="inlineStr">
        <is>
          <t>받은 돈(€)</t>
        </is>
      </c>
      <c r="K4" s="82" t="inlineStr">
        <is>
          <t>진짜 비용(€)</t>
        </is>
      </c>
      <c r="L4" s="82" t="inlineStr">
        <is>
          <t>권장가 (€)</t>
        </is>
      </c>
      <c r="M4" s="82" t="inlineStr">
        <is>
          <t>흑자/적자 (€)</t>
        </is>
      </c>
      <c r="N4" s="82" t="inlineStr">
        <is>
          <t>메모</t>
        </is>
      </c>
    </row>
    <row r="5" ht="15" customHeight="1" s="59">
      <c r="A5" s="107" t="inlineStr">
        <is>
          <t>2026-04-26</t>
        </is>
      </c>
      <c r="B5" s="108" t="inlineStr">
        <is>
          <t>Wicklow</t>
        </is>
      </c>
      <c r="C5" s="75" t="n">
        <v>200</v>
      </c>
      <c r="D5" s="75" t="n">
        <v>6</v>
      </c>
      <c r="E5" s="109" t="n">
        <v>25</v>
      </c>
      <c r="F5" s="109" t="n">
        <v>0</v>
      </c>
      <c r="G5" s="109" t="n">
        <v>0</v>
      </c>
      <c r="H5" s="75" t="n">
        <v>4</v>
      </c>
      <c r="I5" s="75" t="n">
        <v>1</v>
      </c>
      <c r="J5" s="109" t="n">
        <v>50</v>
      </c>
      <c r="K5" s="89">
        <f>IF(C5="","",IF(E5="",C5*차량_정보!C28,E5)+IF(F5="",0,F5)+IF(G5="",0,G5)+C5*차량_정보!C39)</f>
        <v/>
      </c>
      <c r="L5" s="89">
        <f>IF(OR(C5="",H5="",I5=""),"",C5*CHOOSE(I5,0.15,0.2,0.25)*H5)</f>
        <v/>
      </c>
      <c r="M5" s="89">
        <f>IF(OR(J5="",K5=""),"",J5-K5)</f>
        <v/>
      </c>
      <c r="N5" s="108" t="inlineStr">
        <is>
          <t>3명 풀+1명 합류 (15·15·15·5)</t>
        </is>
      </c>
    </row>
    <row r="6" ht="15" customHeight="1" s="59">
      <c r="A6" s="107" t="inlineStr">
        <is>
          <t>2026-07-02</t>
        </is>
      </c>
      <c r="B6" s="108" t="inlineStr">
        <is>
          <t>모허·골웨이 (드록헤다·4인 지인)</t>
        </is>
      </c>
      <c r="C6" s="75" t="n">
        <v>680</v>
      </c>
      <c r="D6" s="75" t="n">
        <v>16</v>
      </c>
      <c r="E6" s="109" t="n"/>
      <c r="F6" s="109" t="n">
        <v>16</v>
      </c>
      <c r="G6" s="109" t="n">
        <v>10</v>
      </c>
      <c r="H6" s="75" t="n">
        <v>4</v>
      </c>
      <c r="I6" s="75" t="n">
        <v>3</v>
      </c>
      <c r="J6" s="109" t="n">
        <v>400</v>
      </c>
      <c r="K6" s="89">
        <f>IF(C6="","",IF(E6="",C6*차량_정보!C28,E6)+IF(F6="",0,F6)+IF(G6="",0,G6)+C6*차량_정보!C39)</f>
        <v/>
      </c>
      <c r="L6" s="89">
        <f>IF(OR(C6="",H6="",I6=""),"",C6*CHOOSE(I6,0.15,0.2,0.25)*H6)</f>
        <v/>
      </c>
      <c r="M6" s="89">
        <f>IF(OR(J6="",K6=""),"",J6-K6)</f>
        <v/>
      </c>
      <c r="N6" s="108" t="inlineStr">
        <is>
          <t>1인 €112 수령(투어€100+티켓€12). 티켓€48=모허입장 통과성(Andrew선결제·in=out). 분배는 €400 기준</t>
        </is>
      </c>
    </row>
    <row r="7" ht="15" customHeight="1" s="59">
      <c r="A7" s="107" t="n"/>
      <c r="B7" s="108" t="n"/>
      <c r="C7" s="75" t="n"/>
      <c r="D7" s="75" t="n"/>
      <c r="E7" s="109" t="n"/>
      <c r="F7" s="109" t="n"/>
      <c r="G7" s="109" t="n"/>
      <c r="H7" s="75" t="n"/>
      <c r="I7" s="75" t="n"/>
      <c r="J7" s="109" t="n"/>
      <c r="K7" s="89">
        <f>IF(C7="","",IF(E7="",C7*차량_정보!C28,E7)+IF(F7="",0,F7)+IF(G7="",0,G7)+C7*차량_정보!C39)</f>
        <v/>
      </c>
      <c r="L7" s="89">
        <f>IF(OR(C7="",H7="",I7=""),"",C7*CHOOSE(I7,0.15,0.2,0.25)*H7)</f>
        <v/>
      </c>
      <c r="M7" s="89">
        <f>IF(OR(J7="",K7=""),"",J7-K7)</f>
        <v/>
      </c>
      <c r="N7" s="108" t="n"/>
    </row>
    <row r="8" ht="15" customHeight="1" s="59">
      <c r="A8" s="107" t="n"/>
      <c r="B8" s="108" t="n"/>
      <c r="C8" s="75" t="n"/>
      <c r="D8" s="75" t="n"/>
      <c r="E8" s="109" t="n"/>
      <c r="F8" s="109" t="n"/>
      <c r="G8" s="109" t="n"/>
      <c r="H8" s="75" t="n"/>
      <c r="I8" s="75" t="n"/>
      <c r="J8" s="109" t="n"/>
      <c r="K8" s="89">
        <f>IF(C8="","",IF(E8="",C8*차량_정보!C28,E8)+IF(F8="",0,F8)+IF(G8="",0,G8)+C8*차량_정보!C39)</f>
        <v/>
      </c>
      <c r="L8" s="89">
        <f>IF(OR(C8="",H8="",I8=""),"",C8*CHOOSE(I8,0.15,0.2,0.25)*H8)</f>
        <v/>
      </c>
      <c r="M8" s="89">
        <f>IF(OR(J8="",K8=""),"",J8-K8)</f>
        <v/>
      </c>
      <c r="N8" s="108" t="n"/>
    </row>
    <row r="9" ht="15" customHeight="1" s="59">
      <c r="A9" s="107" t="n"/>
      <c r="B9" s="108" t="n"/>
      <c r="C9" s="75" t="n"/>
      <c r="D9" s="75" t="n"/>
      <c r="E9" s="109" t="n"/>
      <c r="F9" s="109" t="n"/>
      <c r="G9" s="109" t="n"/>
      <c r="H9" s="75" t="n"/>
      <c r="I9" s="75" t="n"/>
      <c r="J9" s="109" t="n"/>
      <c r="K9" s="89">
        <f>IF(C9="","",IF(E9="",C9*차량_정보!C28,E9)+IF(F9="",0,F9)+IF(G9="",0,G9)+C9*차량_정보!C39)</f>
        <v/>
      </c>
      <c r="L9" s="89">
        <f>IF(OR(C9="",H9="",I9=""),"",C9*CHOOSE(I9,0.15,0.2,0.25)*H9)</f>
        <v/>
      </c>
      <c r="M9" s="89">
        <f>IF(OR(J9="",K9=""),"",J9-K9)</f>
        <v/>
      </c>
      <c r="N9" s="108" t="n"/>
    </row>
    <row r="10" ht="15" customHeight="1" s="59">
      <c r="A10" s="107" t="n"/>
      <c r="B10" s="108" t="n"/>
      <c r="C10" s="75" t="n"/>
      <c r="D10" s="75" t="n"/>
      <c r="E10" s="109" t="n"/>
      <c r="F10" s="109" t="n"/>
      <c r="G10" s="109" t="n"/>
      <c r="H10" s="75" t="n"/>
      <c r="I10" s="75" t="n"/>
      <c r="J10" s="109" t="n"/>
      <c r="K10" s="89">
        <f>IF(C10="","",IF(E10="",C10*차량_정보!C28,E10)+IF(F10="",0,F10)+IF(G10="",0,G10)+C10*차량_정보!C39)</f>
        <v/>
      </c>
      <c r="L10" s="89">
        <f>IF(OR(C10="",H10="",I10=""),"",C10*CHOOSE(I10,0.15,0.2,0.25)*H10)</f>
        <v/>
      </c>
      <c r="M10" s="89">
        <f>IF(OR(J10="",K10=""),"",J10-K10)</f>
        <v/>
      </c>
      <c r="N10" s="108" t="n"/>
    </row>
    <row r="11" ht="15" customHeight="1" s="59">
      <c r="A11" s="107" t="n"/>
      <c r="B11" s="108" t="n"/>
      <c r="C11" s="75" t="n"/>
      <c r="D11" s="75" t="n"/>
      <c r="E11" s="109" t="n"/>
      <c r="F11" s="109" t="n"/>
      <c r="G11" s="109" t="n"/>
      <c r="H11" s="75" t="n"/>
      <c r="I11" s="75" t="n"/>
      <c r="J11" s="109" t="n"/>
      <c r="K11" s="89">
        <f>IF(C11="","",IF(E11="",C11*차량_정보!C28,E11)+IF(F11="",0,F11)+IF(G11="",0,G11)+C11*차량_정보!C39)</f>
        <v/>
      </c>
      <c r="L11" s="89">
        <f>IF(OR(C11="",H11="",I11=""),"",C11*CHOOSE(I11,0.15,0.2,0.25)*H11)</f>
        <v/>
      </c>
      <c r="M11" s="89">
        <f>IF(OR(J11="",K11=""),"",J11-K11)</f>
        <v/>
      </c>
      <c r="N11" s="108" t="n"/>
    </row>
    <row r="12" ht="15" customHeight="1" s="59">
      <c r="A12" s="107" t="n"/>
      <c r="B12" s="108" t="n"/>
      <c r="C12" s="75" t="n"/>
      <c r="D12" s="75" t="n"/>
      <c r="E12" s="109" t="n"/>
      <c r="F12" s="109" t="n"/>
      <c r="G12" s="109" t="n"/>
      <c r="H12" s="75" t="n"/>
      <c r="I12" s="75" t="n"/>
      <c r="J12" s="109" t="n"/>
      <c r="K12" s="89">
        <f>IF(C12="","",IF(E12="",C12*차량_정보!C28,E12)+IF(F12="",0,F12)+IF(G12="",0,G12)+C12*차량_정보!C39)</f>
        <v/>
      </c>
      <c r="L12" s="89">
        <f>IF(OR(C12="",H12="",I12=""),"",C12*CHOOSE(I12,0.15,0.2,0.25)*H12)</f>
        <v/>
      </c>
      <c r="M12" s="89">
        <f>IF(OR(J12="",K12=""),"",J12-K12)</f>
        <v/>
      </c>
      <c r="N12" s="108" t="n"/>
    </row>
    <row r="13" ht="15" customHeight="1" s="59">
      <c r="A13" s="107" t="n"/>
      <c r="B13" s="108" t="n"/>
      <c r="C13" s="75" t="n"/>
      <c r="D13" s="75" t="n"/>
      <c r="E13" s="109" t="n"/>
      <c r="F13" s="109" t="n"/>
      <c r="G13" s="109" t="n"/>
      <c r="H13" s="75" t="n"/>
      <c r="I13" s="75" t="n"/>
      <c r="J13" s="109" t="n"/>
      <c r="K13" s="89">
        <f>IF(C13="","",IF(E13="",C13*차량_정보!C28,E13)+IF(F13="",0,F13)+IF(G13="",0,G13)+C13*차량_정보!C39)</f>
        <v/>
      </c>
      <c r="L13" s="89">
        <f>IF(OR(C13="",H13="",I13=""),"",C13*CHOOSE(I13,0.15,0.2,0.25)*H13)</f>
        <v/>
      </c>
      <c r="M13" s="89">
        <f>IF(OR(J13="",K13=""),"",J13-K13)</f>
        <v/>
      </c>
      <c r="N13" s="108" t="n"/>
    </row>
    <row r="14" ht="15" customHeight="1" s="59">
      <c r="A14" s="107" t="n"/>
      <c r="B14" s="108" t="n"/>
      <c r="C14" s="75" t="n"/>
      <c r="D14" s="75" t="n"/>
      <c r="E14" s="109" t="n"/>
      <c r="F14" s="109" t="n"/>
      <c r="G14" s="109" t="n"/>
      <c r="H14" s="75" t="n"/>
      <c r="I14" s="75" t="n"/>
      <c r="J14" s="109" t="n"/>
      <c r="K14" s="89">
        <f>IF(C14="","",IF(E14="",C14*차량_정보!C28,E14)+IF(F14="",0,F14)+IF(G14="",0,G14)+C14*차량_정보!C39)</f>
        <v/>
      </c>
      <c r="L14" s="89">
        <f>IF(OR(C14="",H14="",I14=""),"",C14*CHOOSE(I14,0.15,0.2,0.25)*H14)</f>
        <v/>
      </c>
      <c r="M14" s="89">
        <f>IF(OR(J14="",K14=""),"",J14-K14)</f>
        <v/>
      </c>
      <c r="N14" s="108" t="n"/>
    </row>
    <row r="15" ht="15" customHeight="1" s="59">
      <c r="A15" s="107" t="n"/>
      <c r="B15" s="108" t="n"/>
      <c r="C15" s="75" t="n"/>
      <c r="D15" s="75" t="n"/>
      <c r="E15" s="109" t="n"/>
      <c r="F15" s="109" t="n"/>
      <c r="G15" s="109" t="n"/>
      <c r="H15" s="75" t="n"/>
      <c r="I15" s="75" t="n"/>
      <c r="J15" s="109" t="n"/>
      <c r="K15" s="89">
        <f>IF(C15="","",IF(E15="",C15*차량_정보!C28,E15)+IF(F15="",0,F15)+IF(G15="",0,G15)+C15*차량_정보!C39)</f>
        <v/>
      </c>
      <c r="L15" s="89">
        <f>IF(OR(C15="",H15="",I15=""),"",C15*CHOOSE(I15,0.15,0.2,0.25)*H15)</f>
        <v/>
      </c>
      <c r="M15" s="89">
        <f>IF(OR(J15="",K15=""),"",J15-K15)</f>
        <v/>
      </c>
      <c r="N15" s="108" t="n"/>
    </row>
    <row r="16" ht="15" customHeight="1" s="59">
      <c r="A16" s="107" t="n"/>
      <c r="B16" s="108" t="n"/>
      <c r="C16" s="75" t="n"/>
      <c r="D16" s="75" t="n"/>
      <c r="E16" s="109" t="n"/>
      <c r="F16" s="109" t="n"/>
      <c r="G16" s="109" t="n"/>
      <c r="H16" s="75" t="n"/>
      <c r="I16" s="75" t="n"/>
      <c r="J16" s="109" t="n"/>
      <c r="K16" s="89">
        <f>IF(C16="","",IF(E16="",C16*차량_정보!C28,E16)+IF(F16="",0,F16)+IF(G16="",0,G16)+C16*차량_정보!C39)</f>
        <v/>
      </c>
      <c r="L16" s="89">
        <f>IF(OR(C16="",H16="",I16=""),"",C16*CHOOSE(I16,0.15,0.2,0.25)*H16)</f>
        <v/>
      </c>
      <c r="M16" s="89">
        <f>IF(OR(J16="",K16=""),"",J16-K16)</f>
        <v/>
      </c>
      <c r="N16" s="108" t="n"/>
    </row>
    <row r="17" ht="15" customHeight="1" s="59">
      <c r="A17" s="107" t="n"/>
      <c r="B17" s="108" t="n"/>
      <c r="C17" s="75" t="n"/>
      <c r="D17" s="75" t="n"/>
      <c r="E17" s="109" t="n"/>
      <c r="F17" s="109" t="n"/>
      <c r="G17" s="109" t="n"/>
      <c r="H17" s="75" t="n"/>
      <c r="I17" s="75" t="n"/>
      <c r="J17" s="109" t="n"/>
      <c r="K17" s="89">
        <f>IF(C17="","",IF(E17="",C17*차량_정보!C28,E17)+IF(F17="",0,F17)+IF(G17="",0,G17)+C17*차량_정보!C39)</f>
        <v/>
      </c>
      <c r="L17" s="89">
        <f>IF(OR(C17="",H17="",I17=""),"",C17*CHOOSE(I17,0.15,0.2,0.25)*H17)</f>
        <v/>
      </c>
      <c r="M17" s="89">
        <f>IF(OR(J17="",K17=""),"",J17-K17)</f>
        <v/>
      </c>
      <c r="N17" s="108" t="n"/>
    </row>
    <row r="18" ht="15" customHeight="1" s="59">
      <c r="A18" s="107" t="n"/>
      <c r="B18" s="108" t="n"/>
      <c r="C18" s="75" t="n"/>
      <c r="D18" s="75" t="n"/>
      <c r="E18" s="109" t="n"/>
      <c r="F18" s="109" t="n"/>
      <c r="G18" s="109" t="n"/>
      <c r="H18" s="75" t="n"/>
      <c r="I18" s="75" t="n"/>
      <c r="J18" s="109" t="n"/>
      <c r="K18" s="89">
        <f>IF(C18="","",IF(E18="",C18*차량_정보!C28,E18)+IF(F18="",0,F18)+IF(G18="",0,G18)+C18*차량_정보!C39)</f>
        <v/>
      </c>
      <c r="L18" s="89">
        <f>IF(OR(C18="",H18="",I18=""),"",C18*CHOOSE(I18,0.15,0.2,0.25)*H18)</f>
        <v/>
      </c>
      <c r="M18" s="89">
        <f>IF(OR(J18="",K18=""),"",J18-K18)</f>
        <v/>
      </c>
      <c r="N18" s="108" t="n"/>
    </row>
    <row r="19" ht="15" customHeight="1" s="59">
      <c r="A19" s="107" t="n"/>
      <c r="B19" s="108" t="n"/>
      <c r="C19" s="75" t="n"/>
      <c r="D19" s="75" t="n"/>
      <c r="E19" s="109" t="n"/>
      <c r="F19" s="109" t="n"/>
      <c r="G19" s="109" t="n"/>
      <c r="H19" s="75" t="n"/>
      <c r="I19" s="75" t="n"/>
      <c r="J19" s="109" t="n"/>
      <c r="K19" s="89">
        <f>IF(C19="","",IF(E19="",C19*차량_정보!C28,E19)+IF(F19="",0,F19)+IF(G19="",0,G19)+C19*차량_정보!C39)</f>
        <v/>
      </c>
      <c r="L19" s="89">
        <f>IF(OR(C19="",H19="",I19=""),"",C19*CHOOSE(I19,0.15,0.2,0.25)*H19)</f>
        <v/>
      </c>
      <c r="M19" s="89">
        <f>IF(OR(J19="",K19=""),"",J19-K19)</f>
        <v/>
      </c>
      <c r="N19" s="108" t="n"/>
    </row>
    <row r="20" ht="15" customHeight="1" s="59">
      <c r="A20" s="107" t="n"/>
      <c r="B20" s="108" t="n"/>
      <c r="C20" s="75" t="n"/>
      <c r="D20" s="75" t="n"/>
      <c r="E20" s="109" t="n"/>
      <c r="F20" s="109" t="n"/>
      <c r="G20" s="109" t="n"/>
      <c r="H20" s="75" t="n"/>
      <c r="I20" s="75" t="n"/>
      <c r="J20" s="109" t="n"/>
      <c r="K20" s="89">
        <f>IF(C20="","",IF(E20="",C20*차량_정보!C28,E20)+IF(F20="",0,F20)+IF(G20="",0,G20)+C20*차량_정보!C39)</f>
        <v/>
      </c>
      <c r="L20" s="89">
        <f>IF(OR(C20="",H20="",I20=""),"",C20*CHOOSE(I20,0.15,0.2,0.25)*H20)</f>
        <v/>
      </c>
      <c r="M20" s="89">
        <f>IF(OR(J20="",K20=""),"",J20-K20)</f>
        <v/>
      </c>
      <c r="N20" s="108" t="n"/>
    </row>
    <row r="21" ht="15" customHeight="1" s="59">
      <c r="A21" s="107" t="n"/>
      <c r="B21" s="108" t="n"/>
      <c r="C21" s="75" t="n"/>
      <c r="D21" s="75" t="n"/>
      <c r="E21" s="109" t="n"/>
      <c r="F21" s="109" t="n"/>
      <c r="G21" s="109" t="n"/>
      <c r="H21" s="75" t="n"/>
      <c r="I21" s="75" t="n"/>
      <c r="J21" s="109" t="n"/>
      <c r="K21" s="89">
        <f>IF(C21="","",IF(E21="",C21*차량_정보!C28,E21)+IF(F21="",0,F21)+IF(G21="",0,G21)+C21*차량_정보!C39)</f>
        <v/>
      </c>
      <c r="L21" s="89">
        <f>IF(OR(C21="",H21="",I21=""),"",C21*CHOOSE(I21,0.15,0.2,0.25)*H21)</f>
        <v/>
      </c>
      <c r="M21" s="89">
        <f>IF(OR(J21="",K21=""),"",J21-K21)</f>
        <v/>
      </c>
      <c r="N21" s="108" t="n"/>
    </row>
    <row r="22" ht="15" customHeight="1" s="59">
      <c r="A22" s="107" t="n"/>
      <c r="B22" s="108" t="n"/>
      <c r="C22" s="75" t="n"/>
      <c r="D22" s="75" t="n"/>
      <c r="E22" s="109" t="n"/>
      <c r="F22" s="109" t="n"/>
      <c r="G22" s="109" t="n"/>
      <c r="H22" s="75" t="n"/>
      <c r="I22" s="75" t="n"/>
      <c r="J22" s="109" t="n"/>
      <c r="K22" s="89">
        <f>IF(C22="","",IF(E22="",C22*차량_정보!C28,E22)+IF(F22="",0,F22)+IF(G22="",0,G22)+C22*차량_정보!C39)</f>
        <v/>
      </c>
      <c r="L22" s="89">
        <f>IF(OR(C22="",H22="",I22=""),"",C22*CHOOSE(I22,0.15,0.2,0.25)*H22)</f>
        <v/>
      </c>
      <c r="M22" s="89">
        <f>IF(OR(J22="",K22=""),"",J22-K22)</f>
        <v/>
      </c>
      <c r="N22" s="108" t="n"/>
    </row>
    <row r="23" ht="15" customHeight="1" s="59">
      <c r="A23" s="107" t="n"/>
      <c r="B23" s="108" t="n"/>
      <c r="C23" s="75" t="n"/>
      <c r="D23" s="75" t="n"/>
      <c r="E23" s="109" t="n"/>
      <c r="F23" s="109" t="n"/>
      <c r="G23" s="109" t="n"/>
      <c r="H23" s="75" t="n"/>
      <c r="I23" s="75" t="n"/>
      <c r="J23" s="109" t="n"/>
      <c r="K23" s="89">
        <f>IF(C23="","",IF(E23="",C23*차량_정보!C28,E23)+IF(F23="",0,F23)+IF(G23="",0,G23)+C23*차량_정보!C39)</f>
        <v/>
      </c>
      <c r="L23" s="89">
        <f>IF(OR(C23="",H23="",I23=""),"",C23*CHOOSE(I23,0.15,0.2,0.25)*H23)</f>
        <v/>
      </c>
      <c r="M23" s="89">
        <f>IF(OR(J23="",K23=""),"",J23-K23)</f>
        <v/>
      </c>
      <c r="N23" s="108" t="n"/>
    </row>
    <row r="24" ht="15" customHeight="1" s="59">
      <c r="A24" s="107" t="n"/>
      <c r="B24" s="108" t="n"/>
      <c r="C24" s="75" t="n"/>
      <c r="D24" s="75" t="n"/>
      <c r="E24" s="109" t="n"/>
      <c r="F24" s="109" t="n"/>
      <c r="G24" s="109" t="n"/>
      <c r="H24" s="75" t="n"/>
      <c r="I24" s="75" t="n"/>
      <c r="J24" s="109" t="n"/>
      <c r="K24" s="89">
        <f>IF(C24="","",IF(E24="",C24*차량_정보!C28,E24)+IF(F24="",0,F24)+IF(G24="",0,G24)+C24*차량_정보!C39)</f>
        <v/>
      </c>
      <c r="L24" s="89">
        <f>IF(OR(C24="",H24="",I24=""),"",C24*CHOOSE(I24,0.15,0.2,0.25)*H24)</f>
        <v/>
      </c>
      <c r="M24" s="89">
        <f>IF(OR(J24="",K24=""),"",J24-K24)</f>
        <v/>
      </c>
      <c r="N24" s="108" t="n"/>
    </row>
    <row r="25" ht="15" customHeight="1" s="59">
      <c r="A25" s="107" t="n"/>
      <c r="B25" s="108" t="n"/>
      <c r="C25" s="75" t="n"/>
      <c r="D25" s="75" t="n"/>
      <c r="E25" s="109" t="n"/>
      <c r="F25" s="109" t="n"/>
      <c r="G25" s="109" t="n"/>
      <c r="H25" s="75" t="n"/>
      <c r="I25" s="75" t="n"/>
      <c r="J25" s="109" t="n"/>
      <c r="K25" s="89">
        <f>IF(C25="","",IF(E25="",C25*차량_정보!C28,E25)+IF(F25="",0,F25)+IF(G25="",0,G25)+C25*차량_정보!C39)</f>
        <v/>
      </c>
      <c r="L25" s="89">
        <f>IF(OR(C25="",H25="",I25=""),"",C25*CHOOSE(I25,0.15,0.2,0.25)*H25)</f>
        <v/>
      </c>
      <c r="M25" s="89">
        <f>IF(OR(J25="",K25=""),"",J25-K25)</f>
        <v/>
      </c>
      <c r="N25" s="108" t="n"/>
    </row>
    <row r="26" ht="15" customHeight="1" s="59">
      <c r="A26" s="107" t="n"/>
      <c r="B26" s="108" t="n"/>
      <c r="C26" s="75" t="n"/>
      <c r="D26" s="75" t="n"/>
      <c r="E26" s="109" t="n"/>
      <c r="F26" s="109" t="n"/>
      <c r="G26" s="109" t="n"/>
      <c r="H26" s="75" t="n"/>
      <c r="I26" s="75" t="n"/>
      <c r="J26" s="109" t="n"/>
      <c r="K26" s="89">
        <f>IF(C26="","",IF(E26="",C26*차량_정보!C28,E26)+IF(F26="",0,F26)+IF(G26="",0,G26)+C26*차량_정보!C39)</f>
        <v/>
      </c>
      <c r="L26" s="89">
        <f>IF(OR(C26="",H26="",I26=""),"",C26*CHOOSE(I26,0.15,0.2,0.25)*H26)</f>
        <v/>
      </c>
      <c r="M26" s="89">
        <f>IF(OR(J26="",K26=""),"",J26-K26)</f>
        <v/>
      </c>
      <c r="N26" s="108" t="n"/>
    </row>
    <row r="27" ht="15" customHeight="1" s="59">
      <c r="A27" s="107" t="n"/>
      <c r="B27" s="108" t="n"/>
      <c r="C27" s="75" t="n"/>
      <c r="D27" s="75" t="n"/>
      <c r="E27" s="109" t="n"/>
      <c r="F27" s="109" t="n"/>
      <c r="G27" s="109" t="n"/>
      <c r="H27" s="75" t="n"/>
      <c r="I27" s="75" t="n"/>
      <c r="J27" s="109" t="n"/>
      <c r="K27" s="89">
        <f>IF(C27="","",IF(E27="",C27*차량_정보!C28,E27)+IF(F27="",0,F27)+IF(G27="",0,G27)+C27*차량_정보!C39)</f>
        <v/>
      </c>
      <c r="L27" s="89">
        <f>IF(OR(C27="",H27="",I27=""),"",C27*CHOOSE(I27,0.15,0.2,0.25)*H27)</f>
        <v/>
      </c>
      <c r="M27" s="89">
        <f>IF(OR(J27="",K27=""),"",J27-K27)</f>
        <v/>
      </c>
      <c r="N27" s="108" t="n"/>
    </row>
    <row r="28" ht="15" customHeight="1" s="59">
      <c r="A28" s="107" t="n"/>
      <c r="B28" s="108" t="n"/>
      <c r="C28" s="75" t="n"/>
      <c r="D28" s="75" t="n"/>
      <c r="E28" s="109" t="n"/>
      <c r="F28" s="109" t="n"/>
      <c r="G28" s="109" t="n"/>
      <c r="H28" s="75" t="n"/>
      <c r="I28" s="75" t="n"/>
      <c r="J28" s="109" t="n"/>
      <c r="K28" s="89">
        <f>IF(C28="","",IF(E28="",C28*차량_정보!C28,E28)+IF(F28="",0,F28)+IF(G28="",0,G28)+C28*차량_정보!C39)</f>
        <v/>
      </c>
      <c r="L28" s="89">
        <f>IF(OR(C28="",H28="",I28=""),"",C28*CHOOSE(I28,0.15,0.2,0.25)*H28)</f>
        <v/>
      </c>
      <c r="M28" s="89">
        <f>IF(OR(J28="",K28=""),"",J28-K28)</f>
        <v/>
      </c>
      <c r="N28" s="108" t="n"/>
    </row>
    <row r="29" ht="15" customHeight="1" s="59">
      <c r="A29" s="107" t="n"/>
      <c r="B29" s="108" t="n"/>
      <c r="C29" s="75" t="n"/>
      <c r="D29" s="75" t="n"/>
      <c r="E29" s="109" t="n"/>
      <c r="F29" s="109" t="n"/>
      <c r="G29" s="109" t="n"/>
      <c r="H29" s="75" t="n"/>
      <c r="I29" s="75" t="n"/>
      <c r="J29" s="109" t="n"/>
      <c r="K29" s="89">
        <f>IF(C29="","",IF(E29="",C29*차량_정보!C28,E29)+IF(F29="",0,F29)+IF(G29="",0,G29)+C29*차량_정보!C39)</f>
        <v/>
      </c>
      <c r="L29" s="89">
        <f>IF(OR(C29="",H29="",I29=""),"",C29*CHOOSE(I29,0.15,0.2,0.25)*H29)</f>
        <v/>
      </c>
      <c r="M29" s="89">
        <f>IF(OR(J29="",K29=""),"",J29-K29)</f>
        <v/>
      </c>
      <c r="N29" s="108" t="n"/>
    </row>
    <row r="30" ht="15" customHeight="1" s="59">
      <c r="A30" s="107" t="n"/>
      <c r="B30" s="108" t="n"/>
      <c r="C30" s="75" t="n"/>
      <c r="D30" s="75" t="n"/>
      <c r="E30" s="109" t="n"/>
      <c r="F30" s="109" t="n"/>
      <c r="G30" s="109" t="n"/>
      <c r="H30" s="75" t="n"/>
      <c r="I30" s="75" t="n"/>
      <c r="J30" s="109" t="n"/>
      <c r="K30" s="89">
        <f>IF(C30="","",IF(E30="",C30*차량_정보!C28,E30)+IF(F30="",0,F30)+IF(G30="",0,G30)+C30*차량_정보!C39)</f>
        <v/>
      </c>
      <c r="L30" s="89">
        <f>IF(OR(C30="",H30="",I30=""),"",C30*CHOOSE(I30,0.15,0.2,0.25)*H30)</f>
        <v/>
      </c>
      <c r="M30" s="89">
        <f>IF(OR(J30="",K30=""),"",J30-K30)</f>
        <v/>
      </c>
      <c r="N30" s="108" t="n"/>
    </row>
    <row r="31" ht="15" customHeight="1" s="59">
      <c r="A31" s="107" t="n"/>
      <c r="B31" s="108" t="n"/>
      <c r="C31" s="75" t="n"/>
      <c r="D31" s="75" t="n"/>
      <c r="E31" s="109" t="n"/>
      <c r="F31" s="109" t="n"/>
      <c r="G31" s="109" t="n"/>
      <c r="H31" s="75" t="n"/>
      <c r="I31" s="75" t="n"/>
      <c r="J31" s="109" t="n"/>
      <c r="K31" s="89">
        <f>IF(C31="","",IF(E31="",C31*차량_정보!C28,E31)+IF(F31="",0,F31)+IF(G31="",0,G31)+C31*차량_정보!C39)</f>
        <v/>
      </c>
      <c r="L31" s="89">
        <f>IF(OR(C31="",H31="",I31=""),"",C31*CHOOSE(I31,0.15,0.2,0.25)*H31)</f>
        <v/>
      </c>
      <c r="M31" s="89">
        <f>IF(OR(J31="",K31=""),"",J31-K31)</f>
        <v/>
      </c>
      <c r="N31" s="108" t="n"/>
    </row>
    <row r="32" ht="15" customHeight="1" s="59">
      <c r="A32" s="107" t="n"/>
      <c r="B32" s="108" t="n"/>
      <c r="C32" s="75" t="n"/>
      <c r="D32" s="75" t="n"/>
      <c r="E32" s="109" t="n"/>
      <c r="F32" s="109" t="n"/>
      <c r="G32" s="109" t="n"/>
      <c r="H32" s="75" t="n"/>
      <c r="I32" s="75" t="n"/>
      <c r="J32" s="109" t="n"/>
      <c r="K32" s="89">
        <f>IF(C32="","",IF(E32="",C32*차량_정보!C28,E32)+IF(F32="",0,F32)+IF(G32="",0,G32)+C32*차량_정보!C39)</f>
        <v/>
      </c>
      <c r="L32" s="89">
        <f>IF(OR(C32="",H32="",I32=""),"",C32*CHOOSE(I32,0.15,0.2,0.25)*H32)</f>
        <v/>
      </c>
      <c r="M32" s="89">
        <f>IF(OR(J32="",K32=""),"",J32-K32)</f>
        <v/>
      </c>
      <c r="N32" s="108" t="n"/>
    </row>
    <row r="33" ht="15" customHeight="1" s="59">
      <c r="A33" s="107" t="n"/>
      <c r="B33" s="108" t="n"/>
      <c r="C33" s="75" t="n"/>
      <c r="D33" s="75" t="n"/>
      <c r="E33" s="109" t="n"/>
      <c r="F33" s="109" t="n"/>
      <c r="G33" s="109" t="n"/>
      <c r="H33" s="75" t="n"/>
      <c r="I33" s="75" t="n"/>
      <c r="J33" s="109" t="n"/>
      <c r="K33" s="89">
        <f>IF(C33="","",IF(E33="",C33*차량_정보!C28,E33)+IF(F33="",0,F33)+IF(G33="",0,G33)+C33*차량_정보!C39)</f>
        <v/>
      </c>
      <c r="L33" s="89">
        <f>IF(OR(C33="",H33="",I33=""),"",C33*CHOOSE(I33,0.15,0.2,0.25)*H33)</f>
        <v/>
      </c>
      <c r="M33" s="89">
        <f>IF(OR(J33="",K33=""),"",J33-K33)</f>
        <v/>
      </c>
      <c r="N33" s="108" t="n"/>
    </row>
    <row r="34" ht="15" customHeight="1" s="59">
      <c r="A34" s="107" t="n"/>
      <c r="B34" s="108" t="n"/>
      <c r="C34" s="75" t="n"/>
      <c r="D34" s="75" t="n"/>
      <c r="E34" s="109" t="n"/>
      <c r="F34" s="109" t="n"/>
      <c r="G34" s="109" t="n"/>
      <c r="H34" s="75" t="n"/>
      <c r="I34" s="75" t="n"/>
      <c r="J34" s="109" t="n"/>
      <c r="K34" s="89">
        <f>IF(C34="","",IF(E34="",C34*차량_정보!C28,E34)+IF(F34="",0,F34)+IF(G34="",0,G34)+C34*차량_정보!C39)</f>
        <v/>
      </c>
      <c r="L34" s="89">
        <f>IF(OR(C34="",H34="",I34=""),"",C34*CHOOSE(I34,0.15,0.2,0.25)*H34)</f>
        <v/>
      </c>
      <c r="M34" s="89">
        <f>IF(OR(J34="",K34=""),"",J34-K34)</f>
        <v/>
      </c>
      <c r="N34" s="108" t="n"/>
    </row>
    <row r="35" ht="15" customHeight="1" s="59">
      <c r="A35" s="107" t="n"/>
      <c r="B35" s="108" t="n"/>
      <c r="C35" s="75" t="n"/>
      <c r="D35" s="75" t="n"/>
      <c r="E35" s="109" t="n"/>
      <c r="F35" s="109" t="n"/>
      <c r="G35" s="109" t="n"/>
      <c r="H35" s="75" t="n"/>
      <c r="I35" s="75" t="n"/>
      <c r="J35" s="109" t="n"/>
      <c r="K35" s="89">
        <f>IF(C35="","",IF(E35="",C35*차량_정보!C28,E35)+IF(F35="",0,F35)+IF(G35="",0,G35)+C35*차량_정보!C39)</f>
        <v/>
      </c>
      <c r="L35" s="89">
        <f>IF(OR(C35="",H35="",I35=""),"",C35*CHOOSE(I35,0.15,0.2,0.25)*H35)</f>
        <v/>
      </c>
      <c r="M35" s="89">
        <f>IF(OR(J35="",K35=""),"",J35-K35)</f>
        <v/>
      </c>
      <c r="N35" s="108" t="n"/>
    </row>
    <row r="36" ht="15" customHeight="1" s="59">
      <c r="A36" s="107" t="n"/>
      <c r="B36" s="108" t="n"/>
      <c r="C36" s="75" t="n"/>
      <c r="D36" s="75" t="n"/>
      <c r="E36" s="109" t="n"/>
      <c r="F36" s="109" t="n"/>
      <c r="G36" s="109" t="n"/>
      <c r="H36" s="75" t="n"/>
      <c r="I36" s="75" t="n"/>
      <c r="J36" s="109" t="n"/>
      <c r="K36" s="89">
        <f>IF(C36="","",IF(E36="",C36*차량_정보!C28,E36)+IF(F36="",0,F36)+IF(G36="",0,G36)+C36*차량_정보!C39)</f>
        <v/>
      </c>
      <c r="L36" s="89">
        <f>IF(OR(C36="",H36="",I36=""),"",C36*CHOOSE(I36,0.15,0.2,0.25)*H36)</f>
        <v/>
      </c>
      <c r="M36" s="89">
        <f>IF(OR(J36="",K36=""),"",J36-K36)</f>
        <v/>
      </c>
      <c r="N36" s="108" t="n"/>
    </row>
    <row r="37" ht="15" customHeight="1" s="59">
      <c r="A37" s="107" t="n"/>
      <c r="B37" s="108" t="n"/>
      <c r="C37" s="75" t="n"/>
      <c r="D37" s="75" t="n"/>
      <c r="E37" s="109" t="n"/>
      <c r="F37" s="109" t="n"/>
      <c r="G37" s="109" t="n"/>
      <c r="H37" s="75" t="n"/>
      <c r="I37" s="75" t="n"/>
      <c r="J37" s="109" t="n"/>
      <c r="K37" s="89">
        <f>IF(C37="","",IF(E37="",C37*차량_정보!C28,E37)+IF(F37="",0,F37)+IF(G37="",0,G37)+C37*차량_정보!C39)</f>
        <v/>
      </c>
      <c r="L37" s="89">
        <f>IF(OR(C37="",H37="",I37=""),"",C37*CHOOSE(I37,0.15,0.2,0.25)*H37)</f>
        <v/>
      </c>
      <c r="M37" s="89">
        <f>IF(OR(J37="",K37=""),"",J37-K37)</f>
        <v/>
      </c>
      <c r="N37" s="108" t="n"/>
    </row>
    <row r="38" ht="15" customHeight="1" s="59">
      <c r="A38" s="107" t="n"/>
      <c r="B38" s="108" t="n"/>
      <c r="C38" s="75" t="n"/>
      <c r="D38" s="75" t="n"/>
      <c r="E38" s="109" t="n"/>
      <c r="F38" s="109" t="n"/>
      <c r="G38" s="109" t="n"/>
      <c r="H38" s="75" t="n"/>
      <c r="I38" s="75" t="n"/>
      <c r="J38" s="109" t="n"/>
      <c r="K38" s="89">
        <f>IF(C38="","",IF(E38="",C38*차량_정보!C28,E38)+IF(F38="",0,F38)+IF(G38="",0,G38)+C38*차량_정보!C39)</f>
        <v/>
      </c>
      <c r="L38" s="89">
        <f>IF(OR(C38="",H38="",I38=""),"",C38*CHOOSE(I38,0.15,0.2,0.25)*H38)</f>
        <v/>
      </c>
      <c r="M38" s="89">
        <f>IF(OR(J38="",K38=""),"",J38-K38)</f>
        <v/>
      </c>
      <c r="N38" s="108" t="n"/>
    </row>
    <row r="39" ht="15" customHeight="1" s="59">
      <c r="A39" s="107" t="n"/>
      <c r="B39" s="108" t="n"/>
      <c r="C39" s="75" t="n"/>
      <c r="D39" s="75" t="n"/>
      <c r="E39" s="109" t="n"/>
      <c r="F39" s="109" t="n"/>
      <c r="G39" s="109" t="n"/>
      <c r="H39" s="75" t="n"/>
      <c r="I39" s="75" t="n"/>
      <c r="J39" s="109" t="n"/>
      <c r="K39" s="89">
        <f>IF(C39="","",IF(E39="",C39*차량_정보!C28,E39)+IF(F39="",0,F39)+IF(G39="",0,G39)+C39*차량_정보!C39)</f>
        <v/>
      </c>
      <c r="L39" s="89">
        <f>IF(OR(C39="",H39="",I39=""),"",C39*CHOOSE(I39,0.15,0.2,0.25)*H39)</f>
        <v/>
      </c>
      <c r="M39" s="89">
        <f>IF(OR(J39="",K39=""),"",J39-K39)</f>
        <v/>
      </c>
      <c r="N39" s="108" t="n"/>
    </row>
    <row r="40" ht="15" customHeight="1" s="59">
      <c r="A40" s="107" t="n"/>
      <c r="B40" s="108" t="n"/>
      <c r="C40" s="75" t="n"/>
      <c r="D40" s="75" t="n"/>
      <c r="E40" s="109" t="n"/>
      <c r="F40" s="109" t="n"/>
      <c r="G40" s="109" t="n"/>
      <c r="H40" s="75" t="n"/>
      <c r="I40" s="75" t="n"/>
      <c r="J40" s="109" t="n"/>
      <c r="K40" s="89">
        <f>IF(C40="","",IF(E40="",C40*차량_정보!C28,E40)+IF(F40="",0,F40)+IF(G40="",0,G40)+C40*차량_정보!C39)</f>
        <v/>
      </c>
      <c r="L40" s="89">
        <f>IF(OR(C40="",H40="",I40=""),"",C40*CHOOSE(I40,0.15,0.2,0.25)*H40)</f>
        <v/>
      </c>
      <c r="M40" s="89">
        <f>IF(OR(J40="",K40=""),"",J40-K40)</f>
        <v/>
      </c>
      <c r="N40" s="108" t="n"/>
    </row>
    <row r="41" ht="15" customHeight="1" s="59">
      <c r="A41" s="107" t="n"/>
      <c r="B41" s="108" t="n"/>
      <c r="C41" s="75" t="n"/>
      <c r="D41" s="75" t="n"/>
      <c r="E41" s="109" t="n"/>
      <c r="F41" s="109" t="n"/>
      <c r="G41" s="109" t="n"/>
      <c r="H41" s="75" t="n"/>
      <c r="I41" s="75" t="n"/>
      <c r="J41" s="109" t="n"/>
      <c r="K41" s="89">
        <f>IF(C41="","",IF(E41="",C41*차량_정보!C28,E41)+IF(F41="",0,F41)+IF(G41="",0,G41)+C41*차량_정보!C39)</f>
        <v/>
      </c>
      <c r="L41" s="89">
        <f>IF(OR(C41="",H41="",I41=""),"",C41*CHOOSE(I41,0.15,0.2,0.25)*H41)</f>
        <v/>
      </c>
      <c r="M41" s="89">
        <f>IF(OR(J41="",K41=""),"",J41-K41)</f>
        <v/>
      </c>
      <c r="N41" s="108" t="n"/>
    </row>
    <row r="42" ht="15" customHeight="1" s="59">
      <c r="A42" s="107" t="n"/>
      <c r="B42" s="108" t="n"/>
      <c r="C42" s="75" t="n"/>
      <c r="D42" s="75" t="n"/>
      <c r="E42" s="109" t="n"/>
      <c r="F42" s="109" t="n"/>
      <c r="G42" s="109" t="n"/>
      <c r="H42" s="75" t="n"/>
      <c r="I42" s="75" t="n"/>
      <c r="J42" s="109" t="n"/>
      <c r="K42" s="89">
        <f>IF(C42="","",IF(E42="",C42*차량_정보!C28,E42)+IF(F42="",0,F42)+IF(G42="",0,G42)+C42*차량_정보!C39)</f>
        <v/>
      </c>
      <c r="L42" s="89">
        <f>IF(OR(C42="",H42="",I42=""),"",C42*CHOOSE(I42,0.15,0.2,0.25)*H42)</f>
        <v/>
      </c>
      <c r="M42" s="89">
        <f>IF(OR(J42="",K42=""),"",J42-K42)</f>
        <v/>
      </c>
      <c r="N42" s="108" t="n"/>
    </row>
    <row r="43" ht="15" customHeight="1" s="59">
      <c r="A43" s="107" t="n"/>
      <c r="B43" s="108" t="n"/>
      <c r="C43" s="75" t="n"/>
      <c r="D43" s="75" t="n"/>
      <c r="E43" s="109" t="n"/>
      <c r="F43" s="109" t="n"/>
      <c r="G43" s="109" t="n"/>
      <c r="H43" s="75" t="n"/>
      <c r="I43" s="75" t="n"/>
      <c r="J43" s="109" t="n"/>
      <c r="K43" s="89">
        <f>IF(C43="","",IF(E43="",C43*차량_정보!C28,E43)+IF(F43="",0,F43)+IF(G43="",0,G43)+C43*차량_정보!C39)</f>
        <v/>
      </c>
      <c r="L43" s="89">
        <f>IF(OR(C43="",H43="",I43=""),"",C43*CHOOSE(I43,0.15,0.2,0.25)*H43)</f>
        <v/>
      </c>
      <c r="M43" s="89">
        <f>IF(OR(J43="",K43=""),"",J43-K43)</f>
        <v/>
      </c>
      <c r="N43" s="108" t="n"/>
    </row>
    <row r="44" ht="15" customHeight="1" s="59">
      <c r="A44" s="107" t="n"/>
      <c r="B44" s="108" t="n"/>
      <c r="C44" s="75" t="n"/>
      <c r="D44" s="75" t="n"/>
      <c r="E44" s="109" t="n"/>
      <c r="F44" s="109" t="n"/>
      <c r="G44" s="109" t="n"/>
      <c r="H44" s="75" t="n"/>
      <c r="I44" s="75" t="n"/>
      <c r="J44" s="109" t="n"/>
      <c r="K44" s="89">
        <f>IF(C44="","",IF(E44="",C44*차량_정보!C28,E44)+IF(F44="",0,F44)+IF(G44="",0,G44)+C44*차량_정보!C39)</f>
        <v/>
      </c>
      <c r="L44" s="89">
        <f>IF(OR(C44="",H44="",I44=""),"",C44*CHOOSE(I44,0.15,0.2,0.25)*H44)</f>
        <v/>
      </c>
      <c r="M44" s="89">
        <f>IF(OR(J44="",K44=""),"",J44-K44)</f>
        <v/>
      </c>
      <c r="N44" s="108" t="n"/>
    </row>
    <row r="45" ht="15" customHeight="1" s="59">
      <c r="A45" s="107" t="n"/>
      <c r="B45" s="108" t="n"/>
      <c r="C45" s="75" t="n"/>
      <c r="D45" s="75" t="n"/>
      <c r="E45" s="109" t="n"/>
      <c r="F45" s="109" t="n"/>
      <c r="G45" s="109" t="n"/>
      <c r="H45" s="75" t="n"/>
      <c r="I45" s="75" t="n"/>
      <c r="J45" s="109" t="n"/>
      <c r="K45" s="89">
        <f>IF(C45="","",IF(E45="",C45*차량_정보!C28,E45)+IF(F45="",0,F45)+IF(G45="",0,G45)+C45*차량_정보!C39)</f>
        <v/>
      </c>
      <c r="L45" s="89">
        <f>IF(OR(C45="",H45="",I45=""),"",C45*CHOOSE(I45,0.15,0.2,0.25)*H45)</f>
        <v/>
      </c>
      <c r="M45" s="89">
        <f>IF(OR(J45="",K45=""),"",J45-K45)</f>
        <v/>
      </c>
      <c r="N45" s="108" t="n"/>
    </row>
    <row r="46" ht="15" customHeight="1" s="59">
      <c r="A46" s="107" t="n"/>
      <c r="B46" s="108" t="n"/>
      <c r="C46" s="75" t="n"/>
      <c r="D46" s="75" t="n"/>
      <c r="E46" s="109" t="n"/>
      <c r="F46" s="109" t="n"/>
      <c r="G46" s="109" t="n"/>
      <c r="H46" s="75" t="n"/>
      <c r="I46" s="75" t="n"/>
      <c r="J46" s="109" t="n"/>
      <c r="K46" s="89">
        <f>IF(C46="","",IF(E46="",C46*차량_정보!C28,E46)+IF(F46="",0,F46)+IF(G46="",0,G46)+C46*차량_정보!C39)</f>
        <v/>
      </c>
      <c r="L46" s="89">
        <f>IF(OR(C46="",H46="",I46=""),"",C46*CHOOSE(I46,0.15,0.2,0.25)*H46)</f>
        <v/>
      </c>
      <c r="M46" s="89">
        <f>IF(OR(J46="",K46=""),"",J46-K46)</f>
        <v/>
      </c>
      <c r="N46" s="108" t="n"/>
    </row>
    <row r="47" ht="15" customHeight="1" s="59">
      <c r="A47" s="107" t="n"/>
      <c r="B47" s="108" t="n"/>
      <c r="C47" s="75" t="n"/>
      <c r="D47" s="75" t="n"/>
      <c r="E47" s="109" t="n"/>
      <c r="F47" s="109" t="n"/>
      <c r="G47" s="109" t="n"/>
      <c r="H47" s="75" t="n"/>
      <c r="I47" s="75" t="n"/>
      <c r="J47" s="109" t="n"/>
      <c r="K47" s="89">
        <f>IF(C47="","",IF(E47="",C47*차량_정보!C28,E47)+IF(F47="",0,F47)+IF(G47="",0,G47)+C47*차량_정보!C39)</f>
        <v/>
      </c>
      <c r="L47" s="89">
        <f>IF(OR(C47="",H47="",I47=""),"",C47*CHOOSE(I47,0.15,0.2,0.25)*H47)</f>
        <v/>
      </c>
      <c r="M47" s="89">
        <f>IF(OR(J47="",K47=""),"",J47-K47)</f>
        <v/>
      </c>
      <c r="N47" s="108" t="n"/>
    </row>
    <row r="48" ht="15" customHeight="1" s="59">
      <c r="A48" s="107" t="n"/>
      <c r="B48" s="108" t="n"/>
      <c r="C48" s="75" t="n"/>
      <c r="D48" s="75" t="n"/>
      <c r="E48" s="109" t="n"/>
      <c r="F48" s="109" t="n"/>
      <c r="G48" s="109" t="n"/>
      <c r="H48" s="75" t="n"/>
      <c r="I48" s="75" t="n"/>
      <c r="J48" s="109" t="n"/>
      <c r="K48" s="89">
        <f>IF(C48="","",IF(E48="",C48*차량_정보!C28,E48)+IF(F48="",0,F48)+IF(G48="",0,G48)+C48*차량_정보!C39)</f>
        <v/>
      </c>
      <c r="L48" s="89">
        <f>IF(OR(C48="",H48="",I48=""),"",C48*CHOOSE(I48,0.15,0.2,0.25)*H48)</f>
        <v/>
      </c>
      <c r="M48" s="89">
        <f>IF(OR(J48="",K48=""),"",J48-K48)</f>
        <v/>
      </c>
      <c r="N48" s="108" t="n"/>
    </row>
    <row r="49" ht="15" customHeight="1" s="59">
      <c r="A49" s="107" t="n"/>
      <c r="B49" s="108" t="n"/>
      <c r="C49" s="75" t="n"/>
      <c r="D49" s="75" t="n"/>
      <c r="E49" s="109" t="n"/>
      <c r="F49" s="109" t="n"/>
      <c r="G49" s="109" t="n"/>
      <c r="H49" s="75" t="n"/>
      <c r="I49" s="75" t="n"/>
      <c r="J49" s="109" t="n"/>
      <c r="K49" s="89">
        <f>IF(C49="","",IF(E49="",C49*차량_정보!C28,E49)+IF(F49="",0,F49)+IF(G49="",0,G49)+C49*차량_정보!C39)</f>
        <v/>
      </c>
      <c r="L49" s="89">
        <f>IF(OR(C49="",H49="",I49=""),"",C49*CHOOSE(I49,0.15,0.2,0.25)*H49)</f>
        <v/>
      </c>
      <c r="M49" s="89">
        <f>IF(OR(J49="",K49=""),"",J49-K49)</f>
        <v/>
      </c>
      <c r="N49" s="108" t="n"/>
    </row>
    <row r="50" ht="15" customHeight="1" s="59">
      <c r="A50" s="107" t="n"/>
      <c r="B50" s="108" t="n"/>
      <c r="C50" s="75" t="n"/>
      <c r="D50" s="75" t="n"/>
      <c r="E50" s="109" t="n"/>
      <c r="F50" s="109" t="n"/>
      <c r="G50" s="109" t="n"/>
      <c r="H50" s="75" t="n"/>
      <c r="I50" s="75" t="n"/>
      <c r="J50" s="109" t="n"/>
      <c r="K50" s="89">
        <f>IF(C50="","",IF(E50="",C50*차량_정보!C28,E50)+IF(F50="",0,F50)+IF(G50="",0,G50)+C50*차량_정보!C39)</f>
        <v/>
      </c>
      <c r="L50" s="89">
        <f>IF(OR(C50="",H50="",I50=""),"",C50*CHOOSE(I50,0.15,0.2,0.25)*H50)</f>
        <v/>
      </c>
      <c r="M50" s="89">
        <f>IF(OR(J50="",K50=""),"",J50-K50)</f>
        <v/>
      </c>
      <c r="N50" s="108" t="n"/>
    </row>
    <row r="51" ht="15" customHeight="1" s="59">
      <c r="A51" s="107" t="n"/>
      <c r="B51" s="108" t="n"/>
      <c r="C51" s="75" t="n"/>
      <c r="D51" s="75" t="n"/>
      <c r="E51" s="109" t="n"/>
      <c r="F51" s="109" t="n"/>
      <c r="G51" s="109" t="n"/>
      <c r="H51" s="75" t="n"/>
      <c r="I51" s="75" t="n"/>
      <c r="J51" s="109" t="n"/>
      <c r="K51" s="89">
        <f>IF(C51="","",IF(E51="",C51*차량_정보!C28,E51)+IF(F51="",0,F51)+IF(G51="",0,G51)+C51*차량_정보!C39)</f>
        <v/>
      </c>
      <c r="L51" s="89">
        <f>IF(OR(C51="",H51="",I51=""),"",C51*CHOOSE(I51,0.15,0.2,0.25)*H51)</f>
        <v/>
      </c>
      <c r="M51" s="89">
        <f>IF(OR(J51="",K51=""),"",J51-K51)</f>
        <v/>
      </c>
      <c r="N51" s="108" t="n"/>
    </row>
    <row r="52" ht="15" customHeight="1" s="59">
      <c r="A52" s="107" t="n"/>
      <c r="B52" s="108" t="n"/>
      <c r="C52" s="75" t="n"/>
      <c r="D52" s="75" t="n"/>
      <c r="E52" s="109" t="n"/>
      <c r="F52" s="109" t="n"/>
      <c r="G52" s="109" t="n"/>
      <c r="H52" s="75" t="n"/>
      <c r="I52" s="75" t="n"/>
      <c r="J52" s="109" t="n"/>
      <c r="K52" s="89">
        <f>IF(C52="","",IF(E52="",C52*차량_정보!C28,E52)+IF(F52="",0,F52)+IF(G52="",0,G52)+C52*차량_정보!C39)</f>
        <v/>
      </c>
      <c r="L52" s="89">
        <f>IF(OR(C52="",H52="",I52=""),"",C52*CHOOSE(I52,0.15,0.2,0.25)*H52)</f>
        <v/>
      </c>
      <c r="M52" s="89">
        <f>IF(OR(J52="",K52=""),"",J52-K52)</f>
        <v/>
      </c>
      <c r="N52" s="108" t="n"/>
    </row>
    <row r="53" ht="15" customHeight="1" s="59">
      <c r="A53" s="107" t="n"/>
      <c r="B53" s="108" t="n"/>
      <c r="C53" s="75" t="n"/>
      <c r="D53" s="75" t="n"/>
      <c r="E53" s="109" t="n"/>
      <c r="F53" s="109" t="n"/>
      <c r="G53" s="109" t="n"/>
      <c r="H53" s="75" t="n"/>
      <c r="I53" s="75" t="n"/>
      <c r="J53" s="109" t="n"/>
      <c r="K53" s="89">
        <f>IF(C53="","",IF(E53="",C53*차량_정보!C28,E53)+IF(F53="",0,F53)+IF(G53="",0,G53)+C53*차량_정보!C39)</f>
        <v/>
      </c>
      <c r="L53" s="89">
        <f>IF(OR(C53="",H53="",I53=""),"",C53*CHOOSE(I53,0.15,0.2,0.25)*H53)</f>
        <v/>
      </c>
      <c r="M53" s="89">
        <f>IF(OR(J53="",K53=""),"",J53-K53)</f>
        <v/>
      </c>
      <c r="N53" s="108" t="n"/>
    </row>
    <row r="54" ht="15" customHeight="1" s="59">
      <c r="A54" s="107" t="n"/>
      <c r="B54" s="108" t="n"/>
      <c r="C54" s="75" t="n"/>
      <c r="D54" s="75" t="n"/>
      <c r="E54" s="109" t="n"/>
      <c r="F54" s="109" t="n"/>
      <c r="G54" s="109" t="n"/>
      <c r="H54" s="75" t="n"/>
      <c r="I54" s="75" t="n"/>
      <c r="J54" s="109" t="n"/>
      <c r="K54" s="89">
        <f>IF(C54="","",IF(E54="",C54*차량_정보!C28,E54)+IF(F54="",0,F54)+IF(G54="",0,G54)+C54*차량_정보!C39)</f>
        <v/>
      </c>
      <c r="L54" s="89">
        <f>IF(OR(C54="",H54="",I54=""),"",C54*CHOOSE(I54,0.15,0.2,0.25)*H54)</f>
        <v/>
      </c>
      <c r="M54" s="89">
        <f>IF(OR(J54="",K54=""),"",J54-K54)</f>
        <v/>
      </c>
      <c r="N54" s="108" t="n"/>
    </row>
    <row r="55" ht="15" customHeight="1" s="59">
      <c r="A55" s="107" t="n"/>
      <c r="B55" s="108" t="n"/>
      <c r="C55" s="75" t="n"/>
      <c r="D55" s="75" t="n"/>
      <c r="E55" s="109" t="n"/>
      <c r="F55" s="109" t="n"/>
      <c r="G55" s="109" t="n"/>
      <c r="H55" s="75" t="n"/>
      <c r="I55" s="75" t="n"/>
      <c r="J55" s="109" t="n"/>
      <c r="K55" s="89">
        <f>IF(C55="","",IF(E55="",C55*차량_정보!C28,E55)+IF(F55="",0,F55)+IF(G55="",0,G55)+C55*차량_정보!C39)</f>
        <v/>
      </c>
      <c r="L55" s="89">
        <f>IF(OR(C55="",H55="",I55=""),"",C55*CHOOSE(I55,0.15,0.2,0.25)*H55)</f>
        <v/>
      </c>
      <c r="M55" s="89">
        <f>IF(OR(J55="",K55=""),"",J55-K55)</f>
        <v/>
      </c>
      <c r="N55" s="108" t="n"/>
    </row>
  </sheetData>
  <mergeCells count="2">
    <mergeCell ref="A3:N3"/>
    <mergeCell ref="A1:N1"/>
  </mergeCells>
  <conditionalFormatting sqref="M5:M55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58" min="1" max="1"/>
    <col width="14" customWidth="1" style="58" min="2" max="3"/>
    <col width="10" customWidth="1" style="58" min="4" max="4"/>
    <col width="8" customWidth="1" style="58" min="5" max="5"/>
    <col width="11" customWidth="1" style="58" min="6" max="6"/>
    <col width="9" customWidth="1" style="58" min="7" max="7"/>
    <col width="12" customWidth="1" style="58" min="8" max="8"/>
    <col width="14" customWidth="1" style="58" min="9" max="11"/>
    <col width="25" customWidth="1" style="58" min="12" max="12"/>
  </cols>
  <sheetData>
    <row r="1" ht="31.5" customHeight="1" s="59">
      <c r="A1" s="60" t="inlineStr">
        <is>
          <t>🚗 이동 기록부 — 픽업·운송·이사</t>
        </is>
      </c>
    </row>
    <row r="3" ht="15" customHeight="1" s="59">
      <c r="A3" s="61" t="inlineStr">
        <is>
          <t>👇 노란 셀에 입력 → 회색 셀은 자동 계산</t>
        </is>
      </c>
    </row>
    <row r="4" ht="15" customHeight="1" s="59">
      <c r="A4" s="82" t="inlineStr">
        <is>
          <t>일자</t>
        </is>
      </c>
      <c r="B4" s="82" t="inlineStr">
        <is>
          <t>서비스 종류</t>
        </is>
      </c>
      <c r="C4" s="82" t="inlineStr">
        <is>
          <t>구간</t>
        </is>
      </c>
      <c r="D4" s="83" t="inlineStr">
        <is>
          <t>km (왕복)</t>
        </is>
      </c>
      <c r="E4" s="82" t="inlineStr">
        <is>
          <t>시간(h)</t>
        </is>
      </c>
      <c r="F4" s="82" t="inlineStr">
        <is>
          <t>연료(€)</t>
        </is>
      </c>
      <c r="G4" s="82" t="inlineStr">
        <is>
          <t>톨(€)</t>
        </is>
      </c>
      <c r="H4" s="82" t="inlineStr">
        <is>
          <t>받은 돈(€)</t>
        </is>
      </c>
      <c r="I4" s="82" t="inlineStr">
        <is>
          <t>진짜 비용(€)</t>
        </is>
      </c>
      <c r="J4" s="82" t="inlineStr">
        <is>
          <t>시간당 수익(€/h)</t>
        </is>
      </c>
      <c r="K4" s="82" t="inlineStr">
        <is>
          <t>흑자/적자(€)</t>
        </is>
      </c>
      <c r="L4" s="82" t="inlineStr">
        <is>
          <t>메모</t>
        </is>
      </c>
    </row>
    <row r="5" ht="15" customHeight="1" s="59">
      <c r="A5" s="107" t="n"/>
      <c r="B5" s="108" t="n"/>
      <c r="C5" s="108" t="n"/>
      <c r="D5" s="110" t="n"/>
      <c r="E5" s="110" t="n"/>
      <c r="F5" s="109" t="n"/>
      <c r="G5" s="109" t="n"/>
      <c r="H5" s="109" t="n"/>
      <c r="I5" s="89">
        <f>IF(D5="","",IF(F5="",D5*차량_정보!C28,F5)+IF(G5="",0,G5)+D5*차량_정보!C39+IF(E5="",0,E5*차량_정보!B16))</f>
        <v/>
      </c>
      <c r="J5" s="89">
        <f>IF(OR(H5="",E5="",E5=0),"",H5/E5)</f>
        <v/>
      </c>
      <c r="K5" s="89">
        <f>IF(OR(H5="",I5=""),"",H5-I5)</f>
        <v/>
      </c>
      <c r="L5" s="108" t="n"/>
    </row>
    <row r="6" ht="15" customHeight="1" s="59">
      <c r="A6" s="107" t="n"/>
      <c r="B6" s="108" t="n"/>
      <c r="C6" s="108" t="n"/>
      <c r="D6" s="110" t="n"/>
      <c r="E6" s="110" t="n"/>
      <c r="F6" s="109" t="n"/>
      <c r="G6" s="109" t="n"/>
      <c r="H6" s="109" t="n"/>
      <c r="I6" s="89">
        <f>IF(D6="","",IF(F6="",D6*차량_정보!C28,F6)+IF(G6="",0,G6)+D6*차량_정보!C39+IF(E6="",0,E6*차량_정보!B16))</f>
        <v/>
      </c>
      <c r="J6" s="89">
        <f>IF(OR(H6="",E6="",E6=0),"",H6/E6)</f>
        <v/>
      </c>
      <c r="K6" s="89">
        <f>IF(OR(H6="",I6=""),"",H6-I6)</f>
        <v/>
      </c>
      <c r="L6" s="108" t="n"/>
    </row>
    <row r="7" ht="15" customHeight="1" s="59">
      <c r="A7" s="107" t="n"/>
      <c r="B7" s="108" t="n"/>
      <c r="C7" s="108" t="n"/>
      <c r="D7" s="110" t="n"/>
      <c r="E7" s="110" t="n"/>
      <c r="F7" s="109" t="n"/>
      <c r="G7" s="109" t="n"/>
      <c r="H7" s="109" t="n"/>
      <c r="I7" s="89">
        <f>IF(D7="","",IF(F7="",D7*차량_정보!C28,F7)+IF(G7="",0,G7)+D7*차량_정보!C39+IF(E7="",0,E7*차량_정보!B16))</f>
        <v/>
      </c>
      <c r="J7" s="89">
        <f>IF(OR(H7="",E7="",E7=0),"",H7/E7)</f>
        <v/>
      </c>
      <c r="K7" s="89">
        <f>IF(OR(H7="",I7=""),"",H7-I7)</f>
        <v/>
      </c>
      <c r="L7" s="108" t="n"/>
    </row>
    <row r="8" ht="15" customHeight="1" s="59">
      <c r="A8" s="107" t="n"/>
      <c r="B8" s="108" t="n"/>
      <c r="C8" s="108" t="n"/>
      <c r="D8" s="110" t="n"/>
      <c r="E8" s="110" t="n"/>
      <c r="F8" s="109" t="n"/>
      <c r="G8" s="109" t="n"/>
      <c r="H8" s="109" t="n"/>
      <c r="I8" s="89">
        <f>IF(D8="","",IF(F8="",D8*차량_정보!C28,F8)+IF(G8="",0,G8)+D8*차량_정보!C39+IF(E8="",0,E8*차량_정보!B16))</f>
        <v/>
      </c>
      <c r="J8" s="89">
        <f>IF(OR(H8="",E8="",E8=0),"",H8/E8)</f>
        <v/>
      </c>
      <c r="K8" s="89">
        <f>IF(OR(H8="",I8=""),"",H8-I8)</f>
        <v/>
      </c>
      <c r="L8" s="108" t="n"/>
    </row>
    <row r="9" ht="15" customHeight="1" s="59">
      <c r="A9" s="107" t="n"/>
      <c r="B9" s="108" t="n"/>
      <c r="C9" s="108" t="n"/>
      <c r="D9" s="110" t="n"/>
      <c r="E9" s="110" t="n"/>
      <c r="F9" s="109" t="n"/>
      <c r="G9" s="109" t="n"/>
      <c r="H9" s="109" t="n"/>
      <c r="I9" s="89">
        <f>IF(D9="","",IF(F9="",D9*차량_정보!C28,F9)+IF(G9="",0,G9)+D9*차량_정보!C39+IF(E9="",0,E9*차량_정보!B16))</f>
        <v/>
      </c>
      <c r="J9" s="89">
        <f>IF(OR(H9="",E9="",E9=0),"",H9/E9)</f>
        <v/>
      </c>
      <c r="K9" s="89">
        <f>IF(OR(H9="",I9=""),"",H9-I9)</f>
        <v/>
      </c>
      <c r="L9" s="108" t="n"/>
    </row>
    <row r="10" ht="15" customHeight="1" s="59">
      <c r="A10" s="107" t="n"/>
      <c r="B10" s="108" t="n"/>
      <c r="C10" s="108" t="n"/>
      <c r="D10" s="110" t="n"/>
      <c r="E10" s="110" t="n"/>
      <c r="F10" s="109" t="n"/>
      <c r="G10" s="109" t="n"/>
      <c r="H10" s="109" t="n"/>
      <c r="I10" s="89">
        <f>IF(D10="","",IF(F10="",D10*차량_정보!C28,F10)+IF(G10="",0,G10)+D10*차량_정보!C39+IF(E10="",0,E10*차량_정보!B16))</f>
        <v/>
      </c>
      <c r="J10" s="89">
        <f>IF(OR(H10="",E10="",E10=0),"",H10/E10)</f>
        <v/>
      </c>
      <c r="K10" s="89">
        <f>IF(OR(H10="",I10=""),"",H10-I10)</f>
        <v/>
      </c>
      <c r="L10" s="108" t="n"/>
    </row>
    <row r="11" ht="15" customHeight="1" s="59">
      <c r="A11" s="107" t="n"/>
      <c r="B11" s="108" t="n"/>
      <c r="C11" s="108" t="n"/>
      <c r="D11" s="110" t="n"/>
      <c r="E11" s="110" t="n"/>
      <c r="F11" s="109" t="n"/>
      <c r="G11" s="109" t="n"/>
      <c r="H11" s="109" t="n"/>
      <c r="I11" s="89">
        <f>IF(D11="","",IF(F11="",D11*차량_정보!C28,F11)+IF(G11="",0,G11)+D11*차량_정보!C39+IF(E11="",0,E11*차량_정보!B16))</f>
        <v/>
      </c>
      <c r="J11" s="89">
        <f>IF(OR(H11="",E11="",E11=0),"",H11/E11)</f>
        <v/>
      </c>
      <c r="K11" s="89">
        <f>IF(OR(H11="",I11=""),"",H11-I11)</f>
        <v/>
      </c>
      <c r="L11" s="108" t="n"/>
    </row>
    <row r="12" ht="15" customHeight="1" s="59">
      <c r="A12" s="107" t="n"/>
      <c r="B12" s="108" t="n"/>
      <c r="C12" s="108" t="n"/>
      <c r="D12" s="110" t="n"/>
      <c r="E12" s="110" t="n"/>
      <c r="F12" s="109" t="n"/>
      <c r="G12" s="109" t="n"/>
      <c r="H12" s="109" t="n"/>
      <c r="I12" s="89">
        <f>IF(D12="","",IF(F12="",D12*차량_정보!C28,F12)+IF(G12="",0,G12)+D12*차량_정보!C39+IF(E12="",0,E12*차량_정보!B16))</f>
        <v/>
      </c>
      <c r="J12" s="89">
        <f>IF(OR(H12="",E12="",E12=0),"",H12/E12)</f>
        <v/>
      </c>
      <c r="K12" s="89">
        <f>IF(OR(H12="",I12=""),"",H12-I12)</f>
        <v/>
      </c>
      <c r="L12" s="108" t="n"/>
    </row>
    <row r="13" ht="15" customHeight="1" s="59">
      <c r="A13" s="107" t="n"/>
      <c r="B13" s="108" t="n"/>
      <c r="C13" s="108" t="n"/>
      <c r="D13" s="110" t="n"/>
      <c r="E13" s="110" t="n"/>
      <c r="F13" s="109" t="n"/>
      <c r="G13" s="109" t="n"/>
      <c r="H13" s="109" t="n"/>
      <c r="I13" s="89">
        <f>IF(D13="","",IF(F13="",D13*차량_정보!C28,F13)+IF(G13="",0,G13)+D13*차량_정보!C39+IF(E13="",0,E13*차량_정보!B16))</f>
        <v/>
      </c>
      <c r="J13" s="89">
        <f>IF(OR(H13="",E13="",E13=0),"",H13/E13)</f>
        <v/>
      </c>
      <c r="K13" s="89">
        <f>IF(OR(H13="",I13=""),"",H13-I13)</f>
        <v/>
      </c>
      <c r="L13" s="108" t="n"/>
    </row>
    <row r="14" ht="15" customHeight="1" s="59">
      <c r="A14" s="107" t="n"/>
      <c r="B14" s="108" t="n"/>
      <c r="C14" s="108" t="n"/>
      <c r="D14" s="110" t="n"/>
      <c r="E14" s="110" t="n"/>
      <c r="F14" s="109" t="n"/>
      <c r="G14" s="109" t="n"/>
      <c r="H14" s="109" t="n"/>
      <c r="I14" s="89">
        <f>IF(D14="","",IF(F14="",D14*차량_정보!C28,F14)+IF(G14="",0,G14)+D14*차량_정보!C39+IF(E14="",0,E14*차량_정보!B16))</f>
        <v/>
      </c>
      <c r="J14" s="89">
        <f>IF(OR(H14="",E14="",E14=0),"",H14/E14)</f>
        <v/>
      </c>
      <c r="K14" s="89">
        <f>IF(OR(H14="",I14=""),"",H14-I14)</f>
        <v/>
      </c>
      <c r="L14" s="108" t="n"/>
    </row>
    <row r="15" ht="15" customHeight="1" s="59">
      <c r="A15" s="107" t="n"/>
      <c r="B15" s="108" t="n"/>
      <c r="C15" s="108" t="n"/>
      <c r="D15" s="110" t="n"/>
      <c r="E15" s="110" t="n"/>
      <c r="F15" s="109" t="n"/>
      <c r="G15" s="109" t="n"/>
      <c r="H15" s="109" t="n"/>
      <c r="I15" s="89">
        <f>IF(D15="","",IF(F15="",D15*차량_정보!C28,F15)+IF(G15="",0,G15)+D15*차량_정보!C39+IF(E15="",0,E15*차량_정보!B16))</f>
        <v/>
      </c>
      <c r="J15" s="89">
        <f>IF(OR(H15="",E15="",E15=0),"",H15/E15)</f>
        <v/>
      </c>
      <c r="K15" s="89">
        <f>IF(OR(H15="",I15=""),"",H15-I15)</f>
        <v/>
      </c>
      <c r="L15" s="108" t="n"/>
    </row>
    <row r="16" ht="15" customHeight="1" s="59">
      <c r="A16" s="107" t="n"/>
      <c r="B16" s="108" t="n"/>
      <c r="C16" s="108" t="n"/>
      <c r="D16" s="110" t="n"/>
      <c r="E16" s="110" t="n"/>
      <c r="F16" s="109" t="n"/>
      <c r="G16" s="109" t="n"/>
      <c r="H16" s="109" t="n"/>
      <c r="I16" s="89">
        <f>IF(D16="","",IF(F16="",D16*차량_정보!C28,F16)+IF(G16="",0,G16)+D16*차량_정보!C39+IF(E16="",0,E16*차량_정보!B16))</f>
        <v/>
      </c>
      <c r="J16" s="89">
        <f>IF(OR(H16="",E16="",E16=0),"",H16/E16)</f>
        <v/>
      </c>
      <c r="K16" s="89">
        <f>IF(OR(H16="",I16=""),"",H16-I16)</f>
        <v/>
      </c>
      <c r="L16" s="108" t="n"/>
    </row>
    <row r="17" ht="15" customHeight="1" s="59">
      <c r="A17" s="107" t="n"/>
      <c r="B17" s="108" t="n"/>
      <c r="C17" s="108" t="n"/>
      <c r="D17" s="110" t="n"/>
      <c r="E17" s="110" t="n"/>
      <c r="F17" s="109" t="n"/>
      <c r="G17" s="109" t="n"/>
      <c r="H17" s="109" t="n"/>
      <c r="I17" s="89">
        <f>IF(D17="","",IF(F17="",D17*차량_정보!C28,F17)+IF(G17="",0,G17)+D17*차량_정보!C39+IF(E17="",0,E17*차량_정보!B16))</f>
        <v/>
      </c>
      <c r="J17" s="89">
        <f>IF(OR(H17="",E17="",E17=0),"",H17/E17)</f>
        <v/>
      </c>
      <c r="K17" s="89">
        <f>IF(OR(H17="",I17=""),"",H17-I17)</f>
        <v/>
      </c>
      <c r="L17" s="108" t="n"/>
    </row>
    <row r="18" ht="15" customHeight="1" s="59">
      <c r="A18" s="107" t="n"/>
      <c r="B18" s="108" t="n"/>
      <c r="C18" s="108" t="n"/>
      <c r="D18" s="110" t="n"/>
      <c r="E18" s="110" t="n"/>
      <c r="F18" s="109" t="n"/>
      <c r="G18" s="109" t="n"/>
      <c r="H18" s="109" t="n"/>
      <c r="I18" s="89">
        <f>IF(D18="","",IF(F18="",D18*차량_정보!C28,F18)+IF(G18="",0,G18)+D18*차량_정보!C39+IF(E18="",0,E18*차량_정보!B16))</f>
        <v/>
      </c>
      <c r="J18" s="89">
        <f>IF(OR(H18="",E18="",E18=0),"",H18/E18)</f>
        <v/>
      </c>
      <c r="K18" s="89">
        <f>IF(OR(H18="",I18=""),"",H18-I18)</f>
        <v/>
      </c>
      <c r="L18" s="108" t="n"/>
    </row>
    <row r="19" ht="15" customHeight="1" s="59">
      <c r="A19" s="107" t="n"/>
      <c r="B19" s="108" t="n"/>
      <c r="C19" s="108" t="n"/>
      <c r="D19" s="110" t="n"/>
      <c r="E19" s="110" t="n"/>
      <c r="F19" s="109" t="n"/>
      <c r="G19" s="109" t="n"/>
      <c r="H19" s="109" t="n"/>
      <c r="I19" s="89">
        <f>IF(D19="","",IF(F19="",D19*차량_정보!C28,F19)+IF(G19="",0,G19)+D19*차량_정보!C39+IF(E19="",0,E19*차량_정보!B16))</f>
        <v/>
      </c>
      <c r="J19" s="89">
        <f>IF(OR(H19="",E19="",E19=0),"",H19/E19)</f>
        <v/>
      </c>
      <c r="K19" s="89">
        <f>IF(OR(H19="",I19=""),"",H19-I19)</f>
        <v/>
      </c>
      <c r="L19" s="108" t="n"/>
    </row>
    <row r="20" ht="15" customHeight="1" s="59">
      <c r="A20" s="107" t="n"/>
      <c r="B20" s="108" t="n"/>
      <c r="C20" s="108" t="n"/>
      <c r="D20" s="110" t="n"/>
      <c r="E20" s="110" t="n"/>
      <c r="F20" s="109" t="n"/>
      <c r="G20" s="109" t="n"/>
      <c r="H20" s="109" t="n"/>
      <c r="I20" s="89">
        <f>IF(D20="","",IF(F20="",D20*차량_정보!C28,F20)+IF(G20="",0,G20)+D20*차량_정보!C39+IF(E20="",0,E20*차량_정보!B16))</f>
        <v/>
      </c>
      <c r="J20" s="89">
        <f>IF(OR(H20="",E20="",E20=0),"",H20/E20)</f>
        <v/>
      </c>
      <c r="K20" s="89">
        <f>IF(OR(H20="",I20=""),"",H20-I20)</f>
        <v/>
      </c>
      <c r="L20" s="108" t="n"/>
    </row>
    <row r="21" ht="15" customHeight="1" s="59">
      <c r="A21" s="107" t="n"/>
      <c r="B21" s="108" t="n"/>
      <c r="C21" s="108" t="n"/>
      <c r="D21" s="110" t="n"/>
      <c r="E21" s="110" t="n"/>
      <c r="F21" s="109" t="n"/>
      <c r="G21" s="109" t="n"/>
      <c r="H21" s="109" t="n"/>
      <c r="I21" s="89">
        <f>IF(D21="","",IF(F21="",D21*차량_정보!C28,F21)+IF(G21="",0,G21)+D21*차량_정보!C39+IF(E21="",0,E21*차량_정보!B16))</f>
        <v/>
      </c>
      <c r="J21" s="89">
        <f>IF(OR(H21="",E21="",E21=0),"",H21/E21)</f>
        <v/>
      </c>
      <c r="K21" s="89">
        <f>IF(OR(H21="",I21=""),"",H21-I21)</f>
        <v/>
      </c>
      <c r="L21" s="108" t="n"/>
    </row>
    <row r="22" ht="15" customHeight="1" s="59">
      <c r="A22" s="107" t="n"/>
      <c r="B22" s="108" t="n"/>
      <c r="C22" s="108" t="n"/>
      <c r="D22" s="110" t="n"/>
      <c r="E22" s="110" t="n"/>
      <c r="F22" s="109" t="n"/>
      <c r="G22" s="109" t="n"/>
      <c r="H22" s="109" t="n"/>
      <c r="I22" s="89">
        <f>IF(D22="","",IF(F22="",D22*차량_정보!C28,F22)+IF(G22="",0,G22)+D22*차량_정보!C39+IF(E22="",0,E22*차량_정보!B16))</f>
        <v/>
      </c>
      <c r="J22" s="89">
        <f>IF(OR(H22="",E22="",E22=0),"",H22/E22)</f>
        <v/>
      </c>
      <c r="K22" s="89">
        <f>IF(OR(H22="",I22=""),"",H22-I22)</f>
        <v/>
      </c>
      <c r="L22" s="108" t="n"/>
    </row>
    <row r="23" ht="15" customHeight="1" s="59">
      <c r="A23" s="107" t="n"/>
      <c r="B23" s="108" t="n"/>
      <c r="C23" s="108" t="n"/>
      <c r="D23" s="110" t="n"/>
      <c r="E23" s="110" t="n"/>
      <c r="F23" s="109" t="n"/>
      <c r="G23" s="109" t="n"/>
      <c r="H23" s="109" t="n"/>
      <c r="I23" s="89">
        <f>IF(D23="","",IF(F23="",D23*차량_정보!C28,F23)+IF(G23="",0,G23)+D23*차량_정보!C39+IF(E23="",0,E23*차량_정보!B16))</f>
        <v/>
      </c>
      <c r="J23" s="89">
        <f>IF(OR(H23="",E23="",E23=0),"",H23/E23)</f>
        <v/>
      </c>
      <c r="K23" s="89">
        <f>IF(OR(H23="",I23=""),"",H23-I23)</f>
        <v/>
      </c>
      <c r="L23" s="108" t="n"/>
    </row>
    <row r="24" ht="15" customHeight="1" s="59">
      <c r="A24" s="107" t="n"/>
      <c r="B24" s="108" t="n"/>
      <c r="C24" s="108" t="n"/>
      <c r="D24" s="110" t="n"/>
      <c r="E24" s="110" t="n"/>
      <c r="F24" s="109" t="n"/>
      <c r="G24" s="109" t="n"/>
      <c r="H24" s="109" t="n"/>
      <c r="I24" s="89">
        <f>IF(D24="","",IF(F24="",D24*차량_정보!C28,F24)+IF(G24="",0,G24)+D24*차량_정보!C39+IF(E24="",0,E24*차량_정보!B16))</f>
        <v/>
      </c>
      <c r="J24" s="89">
        <f>IF(OR(H24="",E24="",E24=0),"",H24/E24)</f>
        <v/>
      </c>
      <c r="K24" s="89">
        <f>IF(OR(H24="",I24=""),"",H24-I24)</f>
        <v/>
      </c>
      <c r="L24" s="108" t="n"/>
    </row>
    <row r="25" ht="15" customHeight="1" s="59">
      <c r="A25" s="107" t="n"/>
      <c r="B25" s="108" t="n"/>
      <c r="C25" s="108" t="n"/>
      <c r="D25" s="110" t="n"/>
      <c r="E25" s="110" t="n"/>
      <c r="F25" s="109" t="n"/>
      <c r="G25" s="109" t="n"/>
      <c r="H25" s="109" t="n"/>
      <c r="I25" s="89">
        <f>IF(D25="","",IF(F25="",D25*차량_정보!C28,F25)+IF(G25="",0,G25)+D25*차량_정보!C39+IF(E25="",0,E25*차량_정보!B16))</f>
        <v/>
      </c>
      <c r="J25" s="89">
        <f>IF(OR(H25="",E25="",E25=0),"",H25/E25)</f>
        <v/>
      </c>
      <c r="K25" s="89">
        <f>IF(OR(H25="",I25=""),"",H25-I25)</f>
        <v/>
      </c>
      <c r="L25" s="108" t="n"/>
    </row>
    <row r="26" ht="15" customHeight="1" s="59">
      <c r="A26" s="107" t="n"/>
      <c r="B26" s="108" t="n"/>
      <c r="C26" s="108" t="n"/>
      <c r="D26" s="110" t="n"/>
      <c r="E26" s="110" t="n"/>
      <c r="F26" s="109" t="n"/>
      <c r="G26" s="109" t="n"/>
      <c r="H26" s="109" t="n"/>
      <c r="I26" s="89">
        <f>IF(D26="","",IF(F26="",D26*차량_정보!C28,F26)+IF(G26="",0,G26)+D26*차량_정보!C39+IF(E26="",0,E26*차량_정보!B16))</f>
        <v/>
      </c>
      <c r="J26" s="89">
        <f>IF(OR(H26="",E26="",E26=0),"",H26/E26)</f>
        <v/>
      </c>
      <c r="K26" s="89">
        <f>IF(OR(H26="",I26=""),"",H26-I26)</f>
        <v/>
      </c>
      <c r="L26" s="108" t="n"/>
    </row>
    <row r="27" ht="15" customHeight="1" s="59">
      <c r="A27" s="107" t="n"/>
      <c r="B27" s="108" t="n"/>
      <c r="C27" s="108" t="n"/>
      <c r="D27" s="110" t="n"/>
      <c r="E27" s="110" t="n"/>
      <c r="F27" s="109" t="n"/>
      <c r="G27" s="109" t="n"/>
      <c r="H27" s="109" t="n"/>
      <c r="I27" s="89">
        <f>IF(D27="","",IF(F27="",D27*차량_정보!C28,F27)+IF(G27="",0,G27)+D27*차량_정보!C39+IF(E27="",0,E27*차량_정보!B16))</f>
        <v/>
      </c>
      <c r="J27" s="89">
        <f>IF(OR(H27="",E27="",E27=0),"",H27/E27)</f>
        <v/>
      </c>
      <c r="K27" s="89">
        <f>IF(OR(H27="",I27=""),"",H27-I27)</f>
        <v/>
      </c>
      <c r="L27" s="108" t="n"/>
    </row>
    <row r="28" ht="15" customHeight="1" s="59">
      <c r="A28" s="107" t="n"/>
      <c r="B28" s="108" t="n"/>
      <c r="C28" s="108" t="n"/>
      <c r="D28" s="110" t="n"/>
      <c r="E28" s="110" t="n"/>
      <c r="F28" s="109" t="n"/>
      <c r="G28" s="109" t="n"/>
      <c r="H28" s="109" t="n"/>
      <c r="I28" s="89">
        <f>IF(D28="","",IF(F28="",D28*차량_정보!C28,F28)+IF(G28="",0,G28)+D28*차량_정보!C39+IF(E28="",0,E28*차량_정보!B16))</f>
        <v/>
      </c>
      <c r="J28" s="89">
        <f>IF(OR(H28="",E28="",E28=0),"",H28/E28)</f>
        <v/>
      </c>
      <c r="K28" s="89">
        <f>IF(OR(H28="",I28=""),"",H28-I28)</f>
        <v/>
      </c>
      <c r="L28" s="108" t="n"/>
    </row>
    <row r="29" ht="15" customHeight="1" s="59">
      <c r="A29" s="107" t="n"/>
      <c r="B29" s="108" t="n"/>
      <c r="C29" s="108" t="n"/>
      <c r="D29" s="110" t="n"/>
      <c r="E29" s="110" t="n"/>
      <c r="F29" s="109" t="n"/>
      <c r="G29" s="109" t="n"/>
      <c r="H29" s="109" t="n"/>
      <c r="I29" s="89">
        <f>IF(D29="","",IF(F29="",D29*차량_정보!C28,F29)+IF(G29="",0,G29)+D29*차량_정보!C39+IF(E29="",0,E29*차량_정보!B16))</f>
        <v/>
      </c>
      <c r="J29" s="89">
        <f>IF(OR(H29="",E29="",E29=0),"",H29/E29)</f>
        <v/>
      </c>
      <c r="K29" s="89">
        <f>IF(OR(H29="",I29=""),"",H29-I29)</f>
        <v/>
      </c>
      <c r="L29" s="108" t="n"/>
    </row>
    <row r="30" ht="15" customHeight="1" s="59">
      <c r="A30" s="107" t="n"/>
      <c r="B30" s="108" t="n"/>
      <c r="C30" s="108" t="n"/>
      <c r="D30" s="110" t="n"/>
      <c r="E30" s="110" t="n"/>
      <c r="F30" s="109" t="n"/>
      <c r="G30" s="109" t="n"/>
      <c r="H30" s="109" t="n"/>
      <c r="I30" s="89">
        <f>IF(D30="","",IF(F30="",D30*차량_정보!C28,F30)+IF(G30="",0,G30)+D30*차량_정보!C39+IF(E30="",0,E30*차량_정보!B16))</f>
        <v/>
      </c>
      <c r="J30" s="89">
        <f>IF(OR(H30="",E30="",E30=0),"",H30/E30)</f>
        <v/>
      </c>
      <c r="K30" s="89">
        <f>IF(OR(H30="",I30=""),"",H30-I30)</f>
        <v/>
      </c>
      <c r="L30" s="108" t="n"/>
    </row>
    <row r="31" ht="15" customHeight="1" s="59">
      <c r="A31" s="107" t="n"/>
      <c r="B31" s="108" t="n"/>
      <c r="C31" s="108" t="n"/>
      <c r="D31" s="110" t="n"/>
      <c r="E31" s="110" t="n"/>
      <c r="F31" s="109" t="n"/>
      <c r="G31" s="109" t="n"/>
      <c r="H31" s="109" t="n"/>
      <c r="I31" s="89">
        <f>IF(D31="","",IF(F31="",D31*차량_정보!C28,F31)+IF(G31="",0,G31)+D31*차량_정보!C39+IF(E31="",0,E31*차량_정보!B16))</f>
        <v/>
      </c>
      <c r="J31" s="89">
        <f>IF(OR(H31="",E31="",E31=0),"",H31/E31)</f>
        <v/>
      </c>
      <c r="K31" s="89">
        <f>IF(OR(H31="",I31=""),"",H31-I31)</f>
        <v/>
      </c>
      <c r="L31" s="108" t="n"/>
    </row>
    <row r="32" ht="15" customHeight="1" s="59">
      <c r="A32" s="107" t="n"/>
      <c r="B32" s="108" t="n"/>
      <c r="C32" s="108" t="n"/>
      <c r="D32" s="110" t="n"/>
      <c r="E32" s="110" t="n"/>
      <c r="F32" s="109" t="n"/>
      <c r="G32" s="109" t="n"/>
      <c r="H32" s="109" t="n"/>
      <c r="I32" s="89">
        <f>IF(D32="","",IF(F32="",D32*차량_정보!C28,F32)+IF(G32="",0,G32)+D32*차량_정보!C39+IF(E32="",0,E32*차량_정보!B16))</f>
        <v/>
      </c>
      <c r="J32" s="89">
        <f>IF(OR(H32="",E32="",E32=0),"",H32/E32)</f>
        <v/>
      </c>
      <c r="K32" s="89">
        <f>IF(OR(H32="",I32=""),"",H32-I32)</f>
        <v/>
      </c>
      <c r="L32" s="108" t="n"/>
    </row>
    <row r="33" ht="15" customHeight="1" s="59">
      <c r="A33" s="107" t="n"/>
      <c r="B33" s="108" t="n"/>
      <c r="C33" s="108" t="n"/>
      <c r="D33" s="110" t="n"/>
      <c r="E33" s="110" t="n"/>
      <c r="F33" s="109" t="n"/>
      <c r="G33" s="109" t="n"/>
      <c r="H33" s="109" t="n"/>
      <c r="I33" s="89">
        <f>IF(D33="","",IF(F33="",D33*차량_정보!C28,F33)+IF(G33="",0,G33)+D33*차량_정보!C39+IF(E33="",0,E33*차량_정보!B16))</f>
        <v/>
      </c>
      <c r="J33" s="89">
        <f>IF(OR(H33="",E33="",E33=0),"",H33/E33)</f>
        <v/>
      </c>
      <c r="K33" s="89">
        <f>IF(OR(H33="",I33=""),"",H33-I33)</f>
        <v/>
      </c>
      <c r="L33" s="108" t="n"/>
    </row>
    <row r="34" ht="15" customHeight="1" s="59">
      <c r="A34" s="107" t="n"/>
      <c r="B34" s="108" t="n"/>
      <c r="C34" s="108" t="n"/>
      <c r="D34" s="110" t="n"/>
      <c r="E34" s="110" t="n"/>
      <c r="F34" s="109" t="n"/>
      <c r="G34" s="109" t="n"/>
      <c r="H34" s="109" t="n"/>
      <c r="I34" s="89">
        <f>IF(D34="","",IF(F34="",D34*차량_정보!C28,F34)+IF(G34="",0,G34)+D34*차량_정보!C39+IF(E34="",0,E34*차량_정보!B16))</f>
        <v/>
      </c>
      <c r="J34" s="89">
        <f>IF(OR(H34="",E34="",E34=0),"",H34/E34)</f>
        <v/>
      </c>
      <c r="K34" s="89">
        <f>IF(OR(H34="",I34=""),"",H34-I34)</f>
        <v/>
      </c>
      <c r="L34" s="108" t="n"/>
    </row>
    <row r="35" ht="15" customHeight="1" s="59">
      <c r="A35" s="107" t="n"/>
      <c r="B35" s="108" t="n"/>
      <c r="C35" s="108" t="n"/>
      <c r="D35" s="110" t="n"/>
      <c r="E35" s="110" t="n"/>
      <c r="F35" s="109" t="n"/>
      <c r="G35" s="109" t="n"/>
      <c r="H35" s="109" t="n"/>
      <c r="I35" s="89">
        <f>IF(D35="","",IF(F35="",D35*차량_정보!C28,F35)+IF(G35="",0,G35)+D35*차량_정보!C39+IF(E35="",0,E35*차량_정보!B16))</f>
        <v/>
      </c>
      <c r="J35" s="89">
        <f>IF(OR(H35="",E35="",E35=0),"",H35/E35)</f>
        <v/>
      </c>
      <c r="K35" s="89">
        <f>IF(OR(H35="",I35=""),"",H35-I35)</f>
        <v/>
      </c>
      <c r="L35" s="108" t="n"/>
    </row>
    <row r="36" ht="15" customHeight="1" s="59">
      <c r="A36" s="107" t="n"/>
      <c r="B36" s="108" t="n"/>
      <c r="C36" s="108" t="n"/>
      <c r="D36" s="110" t="n"/>
      <c r="E36" s="110" t="n"/>
      <c r="F36" s="109" t="n"/>
      <c r="G36" s="109" t="n"/>
      <c r="H36" s="109" t="n"/>
      <c r="I36" s="89">
        <f>IF(D36="","",IF(F36="",D36*차량_정보!C28,F36)+IF(G36="",0,G36)+D36*차량_정보!C39+IF(E36="",0,E36*차량_정보!B16))</f>
        <v/>
      </c>
      <c r="J36" s="89">
        <f>IF(OR(H36="",E36="",E36=0),"",H36/E36)</f>
        <v/>
      </c>
      <c r="K36" s="89">
        <f>IF(OR(H36="",I36=""),"",H36-I36)</f>
        <v/>
      </c>
      <c r="L36" s="108" t="n"/>
    </row>
    <row r="37" ht="15" customHeight="1" s="59">
      <c r="A37" s="107" t="n"/>
      <c r="B37" s="108" t="n"/>
      <c r="C37" s="108" t="n"/>
      <c r="D37" s="110" t="n"/>
      <c r="E37" s="110" t="n"/>
      <c r="F37" s="109" t="n"/>
      <c r="G37" s="109" t="n"/>
      <c r="H37" s="109" t="n"/>
      <c r="I37" s="89">
        <f>IF(D37="","",IF(F37="",D37*차량_정보!C28,F37)+IF(G37="",0,G37)+D37*차량_정보!C39+IF(E37="",0,E37*차량_정보!B16))</f>
        <v/>
      </c>
      <c r="J37" s="89">
        <f>IF(OR(H37="",E37="",E37=0),"",H37/E37)</f>
        <v/>
      </c>
      <c r="K37" s="89">
        <f>IF(OR(H37="",I37=""),"",H37-I37)</f>
        <v/>
      </c>
      <c r="L37" s="108" t="n"/>
    </row>
    <row r="38" ht="15" customHeight="1" s="59">
      <c r="A38" s="107" t="n"/>
      <c r="B38" s="108" t="n"/>
      <c r="C38" s="108" t="n"/>
      <c r="D38" s="110" t="n"/>
      <c r="E38" s="110" t="n"/>
      <c r="F38" s="109" t="n"/>
      <c r="G38" s="109" t="n"/>
      <c r="H38" s="109" t="n"/>
      <c r="I38" s="89">
        <f>IF(D38="","",IF(F38="",D38*차량_정보!C28,F38)+IF(G38="",0,G38)+D38*차량_정보!C39+IF(E38="",0,E38*차량_정보!B16))</f>
        <v/>
      </c>
      <c r="J38" s="89">
        <f>IF(OR(H38="",E38="",E38=0),"",H38/E38)</f>
        <v/>
      </c>
      <c r="K38" s="89">
        <f>IF(OR(H38="",I38=""),"",H38-I38)</f>
        <v/>
      </c>
      <c r="L38" s="108" t="n"/>
    </row>
    <row r="39" ht="15" customHeight="1" s="59">
      <c r="A39" s="107" t="n"/>
      <c r="B39" s="108" t="n"/>
      <c r="C39" s="108" t="n"/>
      <c r="D39" s="110" t="n"/>
      <c r="E39" s="110" t="n"/>
      <c r="F39" s="109" t="n"/>
      <c r="G39" s="109" t="n"/>
      <c r="H39" s="109" t="n"/>
      <c r="I39" s="89">
        <f>IF(D39="","",IF(F39="",D39*차량_정보!C28,F39)+IF(G39="",0,G39)+D39*차량_정보!C39+IF(E39="",0,E39*차량_정보!B16))</f>
        <v/>
      </c>
      <c r="J39" s="89">
        <f>IF(OR(H39="",E39="",E39=0),"",H39/E39)</f>
        <v/>
      </c>
      <c r="K39" s="89">
        <f>IF(OR(H39="",I39=""),"",H39-I39)</f>
        <v/>
      </c>
      <c r="L39" s="108" t="n"/>
    </row>
    <row r="40" ht="15" customHeight="1" s="59">
      <c r="A40" s="107" t="n"/>
      <c r="B40" s="108" t="n"/>
      <c r="C40" s="108" t="n"/>
      <c r="D40" s="110" t="n"/>
      <c r="E40" s="110" t="n"/>
      <c r="F40" s="109" t="n"/>
      <c r="G40" s="109" t="n"/>
      <c r="H40" s="109" t="n"/>
      <c r="I40" s="89">
        <f>IF(D40="","",IF(F40="",D40*차량_정보!C28,F40)+IF(G40="",0,G40)+D40*차량_정보!C39+IF(E40="",0,E40*차량_정보!B16))</f>
        <v/>
      </c>
      <c r="J40" s="89">
        <f>IF(OR(H40="",E40="",E40=0),"",H40/E40)</f>
        <v/>
      </c>
      <c r="K40" s="89">
        <f>IF(OR(H40="",I40=""),"",H40-I40)</f>
        <v/>
      </c>
      <c r="L40" s="108" t="n"/>
    </row>
    <row r="41" ht="15" customHeight="1" s="59">
      <c r="A41" s="107" t="n"/>
      <c r="B41" s="108" t="n"/>
      <c r="C41" s="108" t="n"/>
      <c r="D41" s="110" t="n"/>
      <c r="E41" s="110" t="n"/>
      <c r="F41" s="109" t="n"/>
      <c r="G41" s="109" t="n"/>
      <c r="H41" s="109" t="n"/>
      <c r="I41" s="89">
        <f>IF(D41="","",IF(F41="",D41*차량_정보!C28,F41)+IF(G41="",0,G41)+D41*차량_정보!C39+IF(E41="",0,E41*차량_정보!B16))</f>
        <v/>
      </c>
      <c r="J41" s="89">
        <f>IF(OR(H41="",E41="",E41=0),"",H41/E41)</f>
        <v/>
      </c>
      <c r="K41" s="89">
        <f>IF(OR(H41="",I41=""),"",H41-I41)</f>
        <v/>
      </c>
      <c r="L41" s="108" t="n"/>
    </row>
    <row r="42" ht="15" customHeight="1" s="59">
      <c r="A42" s="107" t="n"/>
      <c r="B42" s="108" t="n"/>
      <c r="C42" s="108" t="n"/>
      <c r="D42" s="110" t="n"/>
      <c r="E42" s="110" t="n"/>
      <c r="F42" s="109" t="n"/>
      <c r="G42" s="109" t="n"/>
      <c r="H42" s="109" t="n"/>
      <c r="I42" s="89">
        <f>IF(D42="","",IF(F42="",D42*차량_정보!C28,F42)+IF(G42="",0,G42)+D42*차량_정보!C39+IF(E42="",0,E42*차량_정보!B16))</f>
        <v/>
      </c>
      <c r="J42" s="89">
        <f>IF(OR(H42="",E42="",E42=0),"",H42/E42)</f>
        <v/>
      </c>
      <c r="K42" s="89">
        <f>IF(OR(H42="",I42=""),"",H42-I42)</f>
        <v/>
      </c>
      <c r="L42" s="108" t="n"/>
    </row>
    <row r="43" ht="15" customHeight="1" s="59">
      <c r="A43" s="107" t="n"/>
      <c r="B43" s="108" t="n"/>
      <c r="C43" s="108" t="n"/>
      <c r="D43" s="110" t="n"/>
      <c r="E43" s="110" t="n"/>
      <c r="F43" s="109" t="n"/>
      <c r="G43" s="109" t="n"/>
      <c r="H43" s="109" t="n"/>
      <c r="I43" s="89">
        <f>IF(D43="","",IF(F43="",D43*차량_정보!C28,F43)+IF(G43="",0,G43)+D43*차량_정보!C39+IF(E43="",0,E43*차량_정보!B16))</f>
        <v/>
      </c>
      <c r="J43" s="89">
        <f>IF(OR(H43="",E43="",E43=0),"",H43/E43)</f>
        <v/>
      </c>
      <c r="K43" s="89">
        <f>IF(OR(H43="",I43=""),"",H43-I43)</f>
        <v/>
      </c>
      <c r="L43" s="108" t="n"/>
    </row>
    <row r="44" ht="15" customHeight="1" s="59">
      <c r="A44" s="107" t="n"/>
      <c r="B44" s="108" t="n"/>
      <c r="C44" s="108" t="n"/>
      <c r="D44" s="110" t="n"/>
      <c r="E44" s="110" t="n"/>
      <c r="F44" s="109" t="n"/>
      <c r="G44" s="109" t="n"/>
      <c r="H44" s="109" t="n"/>
      <c r="I44" s="89">
        <f>IF(D44="","",IF(F44="",D44*차량_정보!C28,F44)+IF(G44="",0,G44)+D44*차량_정보!C39+IF(E44="",0,E44*차량_정보!B16))</f>
        <v/>
      </c>
      <c r="J44" s="89">
        <f>IF(OR(H44="",E44="",E44=0),"",H44/E44)</f>
        <v/>
      </c>
      <c r="K44" s="89">
        <f>IF(OR(H44="",I44=""),"",H44-I44)</f>
        <v/>
      </c>
      <c r="L44" s="108" t="n"/>
    </row>
    <row r="45" ht="15" customHeight="1" s="59">
      <c r="A45" s="107" t="n"/>
      <c r="B45" s="108" t="n"/>
      <c r="C45" s="108" t="n"/>
      <c r="D45" s="110" t="n"/>
      <c r="E45" s="110" t="n"/>
      <c r="F45" s="109" t="n"/>
      <c r="G45" s="109" t="n"/>
      <c r="H45" s="109" t="n"/>
      <c r="I45" s="89">
        <f>IF(D45="","",IF(F45="",D45*차량_정보!C28,F45)+IF(G45="",0,G45)+D45*차량_정보!C39+IF(E45="",0,E45*차량_정보!B16))</f>
        <v/>
      </c>
      <c r="J45" s="89">
        <f>IF(OR(H45="",E45="",E45=0),"",H45/E45)</f>
        <v/>
      </c>
      <c r="K45" s="89">
        <f>IF(OR(H45="",I45=""),"",H45-I45)</f>
        <v/>
      </c>
      <c r="L45" s="108" t="n"/>
    </row>
    <row r="46" ht="15" customHeight="1" s="59">
      <c r="A46" s="107" t="n"/>
      <c r="B46" s="108" t="n"/>
      <c r="C46" s="108" t="n"/>
      <c r="D46" s="110" t="n"/>
      <c r="E46" s="110" t="n"/>
      <c r="F46" s="109" t="n"/>
      <c r="G46" s="109" t="n"/>
      <c r="H46" s="109" t="n"/>
      <c r="I46" s="89">
        <f>IF(D46="","",IF(F46="",D46*차량_정보!C28,F46)+IF(G46="",0,G46)+D46*차량_정보!C39+IF(E46="",0,E46*차량_정보!B16))</f>
        <v/>
      </c>
      <c r="J46" s="89">
        <f>IF(OR(H46="",E46="",E46=0),"",H46/E46)</f>
        <v/>
      </c>
      <c r="K46" s="89">
        <f>IF(OR(H46="",I46=""),"",H46-I46)</f>
        <v/>
      </c>
      <c r="L46" s="108" t="n"/>
    </row>
    <row r="47" ht="15" customHeight="1" s="59">
      <c r="A47" s="107" t="n"/>
      <c r="B47" s="108" t="n"/>
      <c r="C47" s="108" t="n"/>
      <c r="D47" s="110" t="n"/>
      <c r="E47" s="110" t="n"/>
      <c r="F47" s="109" t="n"/>
      <c r="G47" s="109" t="n"/>
      <c r="H47" s="109" t="n"/>
      <c r="I47" s="89">
        <f>IF(D47="","",IF(F47="",D47*차량_정보!C28,F47)+IF(G47="",0,G47)+D47*차량_정보!C39+IF(E47="",0,E47*차량_정보!B16))</f>
        <v/>
      </c>
      <c r="J47" s="89">
        <f>IF(OR(H47="",E47="",E47=0),"",H47/E47)</f>
        <v/>
      </c>
      <c r="K47" s="89">
        <f>IF(OR(H47="",I47=""),"",H47-I47)</f>
        <v/>
      </c>
      <c r="L47" s="108" t="n"/>
    </row>
    <row r="48" ht="15" customHeight="1" s="59">
      <c r="A48" s="107" t="n"/>
      <c r="B48" s="108" t="n"/>
      <c r="C48" s="108" t="n"/>
      <c r="D48" s="110" t="n"/>
      <c r="E48" s="110" t="n"/>
      <c r="F48" s="109" t="n"/>
      <c r="G48" s="109" t="n"/>
      <c r="H48" s="109" t="n"/>
      <c r="I48" s="89">
        <f>IF(D48="","",IF(F48="",D48*차량_정보!C28,F48)+IF(G48="",0,G48)+D48*차량_정보!C39+IF(E48="",0,E48*차량_정보!B16))</f>
        <v/>
      </c>
      <c r="J48" s="89">
        <f>IF(OR(H48="",E48="",E48=0),"",H48/E48)</f>
        <v/>
      </c>
      <c r="K48" s="89">
        <f>IF(OR(H48="",I48=""),"",H48-I48)</f>
        <v/>
      </c>
      <c r="L48" s="108" t="n"/>
    </row>
    <row r="49" ht="15" customHeight="1" s="59">
      <c r="A49" s="107" t="n"/>
      <c r="B49" s="108" t="n"/>
      <c r="C49" s="108" t="n"/>
      <c r="D49" s="110" t="n"/>
      <c r="E49" s="110" t="n"/>
      <c r="F49" s="109" t="n"/>
      <c r="G49" s="109" t="n"/>
      <c r="H49" s="109" t="n"/>
      <c r="I49" s="89">
        <f>IF(D49="","",IF(F49="",D49*차량_정보!C28,F49)+IF(G49="",0,G49)+D49*차량_정보!C39+IF(E49="",0,E49*차량_정보!B16))</f>
        <v/>
      </c>
      <c r="J49" s="89">
        <f>IF(OR(H49="",E49="",E49=0),"",H49/E49)</f>
        <v/>
      </c>
      <c r="K49" s="89">
        <f>IF(OR(H49="",I49=""),"",H49-I49)</f>
        <v/>
      </c>
      <c r="L49" s="108" t="n"/>
    </row>
    <row r="50" ht="15" customHeight="1" s="59">
      <c r="A50" s="107" t="n"/>
      <c r="B50" s="108" t="n"/>
      <c r="C50" s="108" t="n"/>
      <c r="D50" s="110" t="n"/>
      <c r="E50" s="110" t="n"/>
      <c r="F50" s="109" t="n"/>
      <c r="G50" s="109" t="n"/>
      <c r="H50" s="109" t="n"/>
      <c r="I50" s="89">
        <f>IF(D50="","",IF(F50="",D50*차량_정보!C28,F50)+IF(G50="",0,G50)+D50*차량_정보!C39+IF(E50="",0,E50*차량_정보!B16))</f>
        <v/>
      </c>
      <c r="J50" s="89">
        <f>IF(OR(H50="",E50="",E50=0),"",H50/E50)</f>
        <v/>
      </c>
      <c r="K50" s="89">
        <f>IF(OR(H50="",I50=""),"",H50-I50)</f>
        <v/>
      </c>
      <c r="L50" s="108" t="n"/>
    </row>
    <row r="51" ht="15" customHeight="1" s="59">
      <c r="A51" s="107" t="n"/>
      <c r="B51" s="108" t="n"/>
      <c r="C51" s="108" t="n"/>
      <c r="D51" s="110" t="n"/>
      <c r="E51" s="110" t="n"/>
      <c r="F51" s="109" t="n"/>
      <c r="G51" s="109" t="n"/>
      <c r="H51" s="109" t="n"/>
      <c r="I51" s="89">
        <f>IF(D51="","",IF(F51="",D51*차량_정보!C28,F51)+IF(G51="",0,G51)+D51*차량_정보!C39+IF(E51="",0,E51*차량_정보!B16))</f>
        <v/>
      </c>
      <c r="J51" s="89">
        <f>IF(OR(H51="",E51="",E51=0),"",H51/E51)</f>
        <v/>
      </c>
      <c r="K51" s="89">
        <f>IF(OR(H51="",I51=""),"",H51-I51)</f>
        <v/>
      </c>
      <c r="L51" s="108" t="n"/>
    </row>
    <row r="52" ht="15" customHeight="1" s="59">
      <c r="A52" s="107" t="n"/>
      <c r="B52" s="108" t="n"/>
      <c r="C52" s="108" t="n"/>
      <c r="D52" s="110" t="n"/>
      <c r="E52" s="110" t="n"/>
      <c r="F52" s="109" t="n"/>
      <c r="G52" s="109" t="n"/>
      <c r="H52" s="109" t="n"/>
      <c r="I52" s="89">
        <f>IF(D52="","",IF(F52="",D52*차량_정보!C28,F52)+IF(G52="",0,G52)+D52*차량_정보!C39+IF(E52="",0,E52*차량_정보!B16))</f>
        <v/>
      </c>
      <c r="J52" s="89">
        <f>IF(OR(H52="",E52="",E52=0),"",H52/E52)</f>
        <v/>
      </c>
      <c r="K52" s="89">
        <f>IF(OR(H52="",I52=""),"",H52-I52)</f>
        <v/>
      </c>
      <c r="L52" s="108" t="n"/>
    </row>
    <row r="53" ht="15" customHeight="1" s="59">
      <c r="A53" s="107" t="n"/>
      <c r="B53" s="108" t="n"/>
      <c r="C53" s="108" t="n"/>
      <c r="D53" s="110" t="n"/>
      <c r="E53" s="110" t="n"/>
      <c r="F53" s="109" t="n"/>
      <c r="G53" s="109" t="n"/>
      <c r="H53" s="109" t="n"/>
      <c r="I53" s="89">
        <f>IF(D53="","",IF(F53="",D53*차량_정보!C28,F53)+IF(G53="",0,G53)+D53*차량_정보!C39+IF(E53="",0,E53*차량_정보!B16))</f>
        <v/>
      </c>
      <c r="J53" s="89">
        <f>IF(OR(H53="",E53="",E53=0),"",H53/E53)</f>
        <v/>
      </c>
      <c r="K53" s="89">
        <f>IF(OR(H53="",I53=""),"",H53-I53)</f>
        <v/>
      </c>
      <c r="L53" s="108" t="n"/>
    </row>
    <row r="54" ht="15" customHeight="1" s="59">
      <c r="A54" s="107" t="n"/>
      <c r="B54" s="108" t="n"/>
      <c r="C54" s="108" t="n"/>
      <c r="D54" s="110" t="n"/>
      <c r="E54" s="110" t="n"/>
      <c r="F54" s="109" t="n"/>
      <c r="G54" s="109" t="n"/>
      <c r="H54" s="109" t="n"/>
      <c r="I54" s="89">
        <f>IF(D54="","",IF(F54="",D54*차량_정보!C28,F54)+IF(G54="",0,G54)+D54*차량_정보!C39+IF(E54="",0,E54*차량_정보!B16))</f>
        <v/>
      </c>
      <c r="J54" s="89">
        <f>IF(OR(H54="",E54="",E54=0),"",H54/E54)</f>
        <v/>
      </c>
      <c r="K54" s="89">
        <f>IF(OR(H54="",I54=""),"",H54-I54)</f>
        <v/>
      </c>
      <c r="L54" s="108" t="n"/>
    </row>
    <row r="55" ht="15" customHeight="1" s="59">
      <c r="A55" s="107" t="n"/>
      <c r="B55" s="108" t="n"/>
      <c r="C55" s="108" t="n"/>
      <c r="D55" s="110" t="n"/>
      <c r="E55" s="110" t="n"/>
      <c r="F55" s="109" t="n"/>
      <c r="G55" s="109" t="n"/>
      <c r="H55" s="109" t="n"/>
      <c r="I55" s="89">
        <f>IF(D55="","",IF(F55="",D55*차량_정보!C28,F55)+IF(G55="",0,G55)+D55*차량_정보!C39+IF(E55="",0,E55*차량_정보!B16))</f>
        <v/>
      </c>
      <c r="J55" s="89">
        <f>IF(OR(H55="",E55="",E55=0),"",H55/E55)</f>
        <v/>
      </c>
      <c r="K55" s="89">
        <f>IF(OR(H55="",I55=""),"",H55-I55)</f>
        <v/>
      </c>
      <c r="L55" s="108" t="n"/>
    </row>
    <row r="56" ht="15" customHeight="1" s="59">
      <c r="A56" s="107" t="n"/>
      <c r="B56" s="108" t="n"/>
      <c r="C56" s="108" t="n"/>
      <c r="D56" s="110" t="n"/>
      <c r="E56" s="110" t="n"/>
      <c r="F56" s="109" t="n"/>
      <c r="G56" s="109" t="n"/>
      <c r="H56" s="109" t="n"/>
      <c r="I56" s="89">
        <f>IF(D56="","",IF(F56="",D56*차량_정보!C28,F56)+IF(G56="",0,G56)+D56*차량_정보!C39+IF(E56="",0,E56*차량_정보!B16))</f>
        <v/>
      </c>
      <c r="J56" s="89">
        <f>IF(OR(H56="",E56="",E56=0),"",H56/E56)</f>
        <v/>
      </c>
      <c r="K56" s="89">
        <f>IF(OR(H56="",I56=""),"",H56-I56)</f>
        <v/>
      </c>
      <c r="L56" s="108" t="n"/>
    </row>
    <row r="57" ht="15" customHeight="1" s="59">
      <c r="A57" s="107" t="n"/>
      <c r="B57" s="108" t="n"/>
      <c r="C57" s="108" t="n"/>
      <c r="D57" s="110" t="n"/>
      <c r="E57" s="110" t="n"/>
      <c r="F57" s="109" t="n"/>
      <c r="G57" s="109" t="n"/>
      <c r="H57" s="109" t="n"/>
      <c r="I57" s="89">
        <f>IF(D57="","",IF(F57="",D57*차량_정보!C28,F57)+IF(G57="",0,G57)+D57*차량_정보!C39+IF(E57="",0,E57*차량_정보!B16))</f>
        <v/>
      </c>
      <c r="J57" s="89">
        <f>IF(OR(H57="",E57="",E57=0),"",H57/E57)</f>
        <v/>
      </c>
      <c r="K57" s="89">
        <f>IF(OR(H57="",I57=""),"",H57-I57)</f>
        <v/>
      </c>
      <c r="L57" s="108" t="n"/>
    </row>
    <row r="58" ht="15" customHeight="1" s="59">
      <c r="A58" s="107" t="n"/>
      <c r="B58" s="108" t="n"/>
      <c r="C58" s="108" t="n"/>
      <c r="D58" s="110" t="n"/>
      <c r="E58" s="110" t="n"/>
      <c r="F58" s="109" t="n"/>
      <c r="G58" s="109" t="n"/>
      <c r="H58" s="109" t="n"/>
      <c r="I58" s="89">
        <f>IF(D58="","",IF(F58="",D58*차량_정보!C28,F58)+IF(G58="",0,G58)+D58*차량_정보!C39+IF(E58="",0,E58*차량_정보!B16))</f>
        <v/>
      </c>
      <c r="J58" s="89">
        <f>IF(OR(H58="",E58="",E58=0),"",H58/E58)</f>
        <v/>
      </c>
      <c r="K58" s="89">
        <f>IF(OR(H58="",I58=""),"",H58-I58)</f>
        <v/>
      </c>
      <c r="L58" s="108" t="n"/>
    </row>
    <row r="59" ht="15" customHeight="1" s="59">
      <c r="A59" s="107" t="n"/>
      <c r="B59" s="108" t="n"/>
      <c r="C59" s="108" t="n"/>
      <c r="D59" s="110" t="n"/>
      <c r="E59" s="110" t="n"/>
      <c r="F59" s="109" t="n"/>
      <c r="G59" s="109" t="n"/>
      <c r="H59" s="109" t="n"/>
      <c r="I59" s="89">
        <f>IF(D59="","",IF(F59="",D59*차량_정보!C28,F59)+IF(G59="",0,G59)+D59*차량_정보!C39+IF(E59="",0,E59*차량_정보!B16))</f>
        <v/>
      </c>
      <c r="J59" s="89">
        <f>IF(OR(H59="",E59="",E59=0),"",H59/E59)</f>
        <v/>
      </c>
      <c r="K59" s="89">
        <f>IF(OR(H59="",I59=""),"",H59-I59)</f>
        <v/>
      </c>
      <c r="L59" s="108" t="n"/>
    </row>
    <row r="60" ht="15" customHeight="1" s="59">
      <c r="A60" s="107" t="n"/>
      <c r="B60" s="108" t="n"/>
      <c r="C60" s="108" t="n"/>
      <c r="D60" s="110" t="n"/>
      <c r="E60" s="110" t="n"/>
      <c r="F60" s="109" t="n"/>
      <c r="G60" s="109" t="n"/>
      <c r="H60" s="109" t="n"/>
      <c r="I60" s="89">
        <f>IF(D60="","",IF(F60="",D60*차량_정보!C28,F60)+IF(G60="",0,G60)+D60*차량_정보!C39+IF(E60="",0,E60*차량_정보!B16))</f>
        <v/>
      </c>
      <c r="J60" s="89">
        <f>IF(OR(H60="",E60="",E60=0),"",H60/E60)</f>
        <v/>
      </c>
      <c r="K60" s="89">
        <f>IF(OR(H60="",I60=""),"",H60-I60)</f>
        <v/>
      </c>
      <c r="L60" s="108" t="n"/>
    </row>
    <row r="61" ht="15" customHeight="1" s="59">
      <c r="A61" s="107" t="n"/>
      <c r="B61" s="108" t="n"/>
      <c r="C61" s="108" t="n"/>
      <c r="D61" s="110" t="n"/>
      <c r="E61" s="110" t="n"/>
      <c r="F61" s="109" t="n"/>
      <c r="G61" s="109" t="n"/>
      <c r="H61" s="109" t="n"/>
      <c r="I61" s="89">
        <f>IF(D61="","",IF(F61="",D61*차량_정보!C28,F61)+IF(G61="",0,G61)+D61*차량_정보!C39+IF(E61="",0,E61*차량_정보!B16))</f>
        <v/>
      </c>
      <c r="J61" s="89">
        <f>IF(OR(H61="",E61="",E61=0),"",H61/E61)</f>
        <v/>
      </c>
      <c r="K61" s="89">
        <f>IF(OR(H61="",I61=""),"",H61-I61)</f>
        <v/>
      </c>
      <c r="L61" s="108" t="n"/>
    </row>
    <row r="62" ht="15" customHeight="1" s="59">
      <c r="A62" s="107" t="n"/>
      <c r="B62" s="108" t="n"/>
      <c r="C62" s="108" t="n"/>
      <c r="D62" s="110" t="n"/>
      <c r="E62" s="110" t="n"/>
      <c r="F62" s="109" t="n"/>
      <c r="G62" s="109" t="n"/>
      <c r="H62" s="109" t="n"/>
      <c r="I62" s="89">
        <f>IF(D62="","",IF(F62="",D62*차량_정보!C28,F62)+IF(G62="",0,G62)+D62*차량_정보!C39+IF(E62="",0,E62*차량_정보!B16))</f>
        <v/>
      </c>
      <c r="J62" s="89">
        <f>IF(OR(H62="",E62="",E62=0),"",H62/E62)</f>
        <v/>
      </c>
      <c r="K62" s="89">
        <f>IF(OR(H62="",I62=""),"",H62-I62)</f>
        <v/>
      </c>
      <c r="L62" s="108" t="n"/>
    </row>
    <row r="63" ht="15" customHeight="1" s="59">
      <c r="A63" s="107" t="n"/>
      <c r="B63" s="108" t="n"/>
      <c r="C63" s="108" t="n"/>
      <c r="D63" s="110" t="n"/>
      <c r="E63" s="110" t="n"/>
      <c r="F63" s="109" t="n"/>
      <c r="G63" s="109" t="n"/>
      <c r="H63" s="109" t="n"/>
      <c r="I63" s="89">
        <f>IF(D63="","",IF(F63="",D63*차량_정보!C28,F63)+IF(G63="",0,G63)+D63*차량_정보!C39+IF(E63="",0,E63*차량_정보!B16))</f>
        <v/>
      </c>
      <c r="J63" s="89">
        <f>IF(OR(H63="",E63="",E63=0),"",H63/E63)</f>
        <v/>
      </c>
      <c r="K63" s="89">
        <f>IF(OR(H63="",I63=""),"",H63-I63)</f>
        <v/>
      </c>
      <c r="L63" s="108" t="n"/>
    </row>
    <row r="64" ht="15" customHeight="1" s="59">
      <c r="A64" s="107" t="n"/>
      <c r="B64" s="108" t="n"/>
      <c r="C64" s="108" t="n"/>
      <c r="D64" s="110" t="n"/>
      <c r="E64" s="110" t="n"/>
      <c r="F64" s="109" t="n"/>
      <c r="G64" s="109" t="n"/>
      <c r="H64" s="109" t="n"/>
      <c r="I64" s="89">
        <f>IF(D64="","",IF(F64="",D64*차량_정보!C28,F64)+IF(G64="",0,G64)+D64*차량_정보!C39+IF(E64="",0,E64*차량_정보!B16))</f>
        <v/>
      </c>
      <c r="J64" s="89">
        <f>IF(OR(H64="",E64="",E64=0),"",H64/E64)</f>
        <v/>
      </c>
      <c r="K64" s="89">
        <f>IF(OR(H64="",I64=""),"",H64-I64)</f>
        <v/>
      </c>
      <c r="L64" s="108" t="n"/>
    </row>
    <row r="65" ht="15" customHeight="1" s="59">
      <c r="A65" s="107" t="n"/>
      <c r="B65" s="108" t="n"/>
      <c r="C65" s="108" t="n"/>
      <c r="D65" s="110" t="n"/>
      <c r="E65" s="110" t="n"/>
      <c r="F65" s="109" t="n"/>
      <c r="G65" s="109" t="n"/>
      <c r="H65" s="109" t="n"/>
      <c r="I65" s="89">
        <f>IF(D65="","",IF(F65="",D65*차량_정보!C28,F65)+IF(G65="",0,G65)+D65*차량_정보!C39+IF(E65="",0,E65*차량_정보!B16))</f>
        <v/>
      </c>
      <c r="J65" s="89">
        <f>IF(OR(H65="",E65="",E65=0),"",H65/E65)</f>
        <v/>
      </c>
      <c r="K65" s="89">
        <f>IF(OR(H65="",I65=""),"",H65-I65)</f>
        <v/>
      </c>
      <c r="L65" s="108" t="n"/>
    </row>
    <row r="66" ht="15" customHeight="1" s="59">
      <c r="A66" s="107" t="n"/>
      <c r="B66" s="108" t="n"/>
      <c r="C66" s="108" t="n"/>
      <c r="D66" s="110" t="n"/>
      <c r="E66" s="110" t="n"/>
      <c r="F66" s="109" t="n"/>
      <c r="G66" s="109" t="n"/>
      <c r="H66" s="109" t="n"/>
      <c r="I66" s="89">
        <f>IF(D66="","",IF(F66="",D66*차량_정보!C28,F66)+IF(G66="",0,G66)+D66*차량_정보!C39+IF(E66="",0,E66*차량_정보!B16))</f>
        <v/>
      </c>
      <c r="J66" s="89">
        <f>IF(OR(H66="",E66="",E66=0),"",H66/E66)</f>
        <v/>
      </c>
      <c r="K66" s="89">
        <f>IF(OR(H66="",I66=""),"",H66-I66)</f>
        <v/>
      </c>
      <c r="L66" s="108" t="n"/>
    </row>
    <row r="67" ht="15" customHeight="1" s="59">
      <c r="A67" s="107" t="n"/>
      <c r="B67" s="108" t="n"/>
      <c r="C67" s="108" t="n"/>
      <c r="D67" s="110" t="n"/>
      <c r="E67" s="110" t="n"/>
      <c r="F67" s="109" t="n"/>
      <c r="G67" s="109" t="n"/>
      <c r="H67" s="109" t="n"/>
      <c r="I67" s="89">
        <f>IF(D67="","",IF(F67="",D67*차량_정보!C28,F67)+IF(G67="",0,G67)+D67*차량_정보!C39+IF(E67="",0,E67*차량_정보!B16))</f>
        <v/>
      </c>
      <c r="J67" s="89">
        <f>IF(OR(H67="",E67="",E67=0),"",H67/E67)</f>
        <v/>
      </c>
      <c r="K67" s="89">
        <f>IF(OR(H67="",I67=""),"",H67-I67)</f>
        <v/>
      </c>
      <c r="L67" s="108" t="n"/>
    </row>
    <row r="68" ht="15" customHeight="1" s="59">
      <c r="A68" s="107" t="n"/>
      <c r="B68" s="108" t="n"/>
      <c r="C68" s="108" t="n"/>
      <c r="D68" s="110" t="n"/>
      <c r="E68" s="110" t="n"/>
      <c r="F68" s="109" t="n"/>
      <c r="G68" s="109" t="n"/>
      <c r="H68" s="109" t="n"/>
      <c r="I68" s="89">
        <f>IF(D68="","",IF(F68="",D68*차량_정보!C28,F68)+IF(G68="",0,G68)+D68*차량_정보!C39+IF(E68="",0,E68*차량_정보!B16))</f>
        <v/>
      </c>
      <c r="J68" s="89">
        <f>IF(OR(H68="",E68="",E68=0),"",H68/E68)</f>
        <v/>
      </c>
      <c r="K68" s="89">
        <f>IF(OR(H68="",I68=""),"",H68-I68)</f>
        <v/>
      </c>
      <c r="L68" s="108" t="n"/>
    </row>
    <row r="69" ht="15" customHeight="1" s="59">
      <c r="A69" s="107" t="n"/>
      <c r="B69" s="108" t="n"/>
      <c r="C69" s="108" t="n"/>
      <c r="D69" s="110" t="n"/>
      <c r="E69" s="110" t="n"/>
      <c r="F69" s="109" t="n"/>
      <c r="G69" s="109" t="n"/>
      <c r="H69" s="109" t="n"/>
      <c r="I69" s="89">
        <f>IF(D69="","",IF(F69="",D69*차량_정보!C28,F69)+IF(G69="",0,G69)+D69*차량_정보!C39+IF(E69="",0,E69*차량_정보!B16))</f>
        <v/>
      </c>
      <c r="J69" s="89">
        <f>IF(OR(H69="",E69="",E69=0),"",H69/E69)</f>
        <v/>
      </c>
      <c r="K69" s="89">
        <f>IF(OR(H69="",I69=""),"",H69-I69)</f>
        <v/>
      </c>
      <c r="L69" s="108" t="n"/>
    </row>
    <row r="70" ht="15" customHeight="1" s="59">
      <c r="A70" s="107" t="n"/>
      <c r="B70" s="108" t="n"/>
      <c r="C70" s="108" t="n"/>
      <c r="D70" s="110" t="n"/>
      <c r="E70" s="110" t="n"/>
      <c r="F70" s="109" t="n"/>
      <c r="G70" s="109" t="n"/>
      <c r="H70" s="109" t="n"/>
      <c r="I70" s="89">
        <f>IF(D70="","",IF(F70="",D70*차량_정보!C28,F70)+IF(G70="",0,G70)+D70*차량_정보!C39+IF(E70="",0,E70*차량_정보!B16))</f>
        <v/>
      </c>
      <c r="J70" s="89">
        <f>IF(OR(H70="",E70="",E70=0),"",H70/E70)</f>
        <v/>
      </c>
      <c r="K70" s="89">
        <f>IF(OR(H70="",I70=""),"",H70-I70)</f>
        <v/>
      </c>
      <c r="L70" s="108" t="n"/>
    </row>
    <row r="71" ht="15" customHeight="1" s="59">
      <c r="A71" s="107" t="n"/>
      <c r="B71" s="108" t="n"/>
      <c r="C71" s="108" t="n"/>
      <c r="D71" s="110" t="n"/>
      <c r="E71" s="110" t="n"/>
      <c r="F71" s="109" t="n"/>
      <c r="G71" s="109" t="n"/>
      <c r="H71" s="109" t="n"/>
      <c r="I71" s="89">
        <f>IF(D71="","",IF(F71="",D71*차량_정보!C28,F71)+IF(G71="",0,G71)+D71*차량_정보!C39+IF(E71="",0,E71*차량_정보!B16))</f>
        <v/>
      </c>
      <c r="J71" s="89">
        <f>IF(OR(H71="",E71="",E71=0),"",H71/E71)</f>
        <v/>
      </c>
      <c r="K71" s="89">
        <f>IF(OR(H71="",I71=""),"",H71-I71)</f>
        <v/>
      </c>
      <c r="L71" s="108" t="n"/>
    </row>
    <row r="72" ht="15" customHeight="1" s="59">
      <c r="A72" s="107" t="n"/>
      <c r="B72" s="108" t="n"/>
      <c r="C72" s="108" t="n"/>
      <c r="D72" s="110" t="n"/>
      <c r="E72" s="110" t="n"/>
      <c r="F72" s="109" t="n"/>
      <c r="G72" s="109" t="n"/>
      <c r="H72" s="109" t="n"/>
      <c r="I72" s="89">
        <f>IF(D72="","",IF(F72="",D72*차량_정보!C28,F72)+IF(G72="",0,G72)+D72*차량_정보!C39+IF(E72="",0,E72*차량_정보!B16))</f>
        <v/>
      </c>
      <c r="J72" s="89">
        <f>IF(OR(H72="",E72="",E72=0),"",H72/E72)</f>
        <v/>
      </c>
      <c r="K72" s="89">
        <f>IF(OR(H72="",I72=""),"",H72-I72)</f>
        <v/>
      </c>
      <c r="L72" s="108" t="n"/>
    </row>
    <row r="73" ht="15" customHeight="1" s="59">
      <c r="A73" s="107" t="n"/>
      <c r="B73" s="108" t="n"/>
      <c r="C73" s="108" t="n"/>
      <c r="D73" s="110" t="n"/>
      <c r="E73" s="110" t="n"/>
      <c r="F73" s="109" t="n"/>
      <c r="G73" s="109" t="n"/>
      <c r="H73" s="109" t="n"/>
      <c r="I73" s="89">
        <f>IF(D73="","",IF(F73="",D73*차량_정보!C28,F73)+IF(G73="",0,G73)+D73*차량_정보!C39+IF(E73="",0,E73*차량_정보!B16))</f>
        <v/>
      </c>
      <c r="J73" s="89">
        <f>IF(OR(H73="",E73="",E73=0),"",H73/E73)</f>
        <v/>
      </c>
      <c r="K73" s="89">
        <f>IF(OR(H73="",I73=""),"",H73-I73)</f>
        <v/>
      </c>
      <c r="L73" s="108" t="n"/>
    </row>
    <row r="74" ht="15" customHeight="1" s="59">
      <c r="A74" s="107" t="n"/>
      <c r="B74" s="108" t="n"/>
      <c r="C74" s="108" t="n"/>
      <c r="D74" s="110" t="n"/>
      <c r="E74" s="110" t="n"/>
      <c r="F74" s="109" t="n"/>
      <c r="G74" s="109" t="n"/>
      <c r="H74" s="109" t="n"/>
      <c r="I74" s="89">
        <f>IF(D74="","",IF(F74="",D74*차량_정보!C28,F74)+IF(G74="",0,G74)+D74*차량_정보!C39+IF(E74="",0,E74*차량_정보!B16))</f>
        <v/>
      </c>
      <c r="J74" s="89">
        <f>IF(OR(H74="",E74="",E74=0),"",H74/E74)</f>
        <v/>
      </c>
      <c r="K74" s="89">
        <f>IF(OR(H74="",I74=""),"",H74-I74)</f>
        <v/>
      </c>
      <c r="L74" s="108" t="n"/>
    </row>
    <row r="75" ht="15" customHeight="1" s="59">
      <c r="A75" s="107" t="n"/>
      <c r="B75" s="108" t="n"/>
      <c r="C75" s="108" t="n"/>
      <c r="D75" s="110" t="n"/>
      <c r="E75" s="110" t="n"/>
      <c r="F75" s="109" t="n"/>
      <c r="G75" s="109" t="n"/>
      <c r="H75" s="109" t="n"/>
      <c r="I75" s="89">
        <f>IF(D75="","",IF(F75="",D75*차량_정보!C28,F75)+IF(G75="",0,G75)+D75*차량_정보!C39+IF(E75="",0,E75*차량_정보!B16))</f>
        <v/>
      </c>
      <c r="J75" s="89">
        <f>IF(OR(H75="",E75="",E75=0),"",H75/E75)</f>
        <v/>
      </c>
      <c r="K75" s="89">
        <f>IF(OR(H75="",I75=""),"",H75-I75)</f>
        <v/>
      </c>
      <c r="L75" s="108" t="n"/>
    </row>
    <row r="76" ht="15" customHeight="1" s="59">
      <c r="A76" s="107" t="n"/>
      <c r="B76" s="108" t="n"/>
      <c r="C76" s="108" t="n"/>
      <c r="D76" s="110" t="n"/>
      <c r="E76" s="110" t="n"/>
      <c r="F76" s="109" t="n"/>
      <c r="G76" s="109" t="n"/>
      <c r="H76" s="109" t="n"/>
      <c r="I76" s="89">
        <f>IF(D76="","",IF(F76="",D76*차량_정보!C28,F76)+IF(G76="",0,G76)+D76*차량_정보!C39+IF(E76="",0,E76*차량_정보!B16))</f>
        <v/>
      </c>
      <c r="J76" s="89">
        <f>IF(OR(H76="",E76="",E76=0),"",H76/E76)</f>
        <v/>
      </c>
      <c r="K76" s="89">
        <f>IF(OR(H76="",I76=""),"",H76-I76)</f>
        <v/>
      </c>
      <c r="L76" s="108" t="n"/>
    </row>
    <row r="77" ht="15" customHeight="1" s="59">
      <c r="A77" s="107" t="n"/>
      <c r="B77" s="108" t="n"/>
      <c r="C77" s="108" t="n"/>
      <c r="D77" s="110" t="n"/>
      <c r="E77" s="110" t="n"/>
      <c r="F77" s="109" t="n"/>
      <c r="G77" s="109" t="n"/>
      <c r="H77" s="109" t="n"/>
      <c r="I77" s="89">
        <f>IF(D77="","",IF(F77="",D77*차량_정보!C28,F77)+IF(G77="",0,G77)+D77*차량_정보!C39+IF(E77="",0,E77*차량_정보!B16))</f>
        <v/>
      </c>
      <c r="J77" s="89">
        <f>IF(OR(H77="",E77="",E77=0),"",H77/E77)</f>
        <v/>
      </c>
      <c r="K77" s="89">
        <f>IF(OR(H77="",I77=""),"",H77-I77)</f>
        <v/>
      </c>
      <c r="L77" s="108" t="n"/>
    </row>
    <row r="78" ht="15" customHeight="1" s="59">
      <c r="A78" s="107" t="n"/>
      <c r="B78" s="108" t="n"/>
      <c r="C78" s="108" t="n"/>
      <c r="D78" s="110" t="n"/>
      <c r="E78" s="110" t="n"/>
      <c r="F78" s="109" t="n"/>
      <c r="G78" s="109" t="n"/>
      <c r="H78" s="109" t="n"/>
      <c r="I78" s="89">
        <f>IF(D78="","",IF(F78="",D78*차량_정보!C28,F78)+IF(G78="",0,G78)+D78*차량_정보!C39+IF(E78="",0,E78*차량_정보!B16))</f>
        <v/>
      </c>
      <c r="J78" s="89">
        <f>IF(OR(H78="",E78="",E78=0),"",H78/E78)</f>
        <v/>
      </c>
      <c r="K78" s="89">
        <f>IF(OR(H78="",I78=""),"",H78-I78)</f>
        <v/>
      </c>
      <c r="L78" s="108" t="n"/>
    </row>
    <row r="79" ht="15" customHeight="1" s="59">
      <c r="A79" s="107" t="n"/>
      <c r="B79" s="108" t="n"/>
      <c r="C79" s="108" t="n"/>
      <c r="D79" s="110" t="n"/>
      <c r="E79" s="110" t="n"/>
      <c r="F79" s="109" t="n"/>
      <c r="G79" s="109" t="n"/>
      <c r="H79" s="109" t="n"/>
      <c r="I79" s="89">
        <f>IF(D79="","",IF(F79="",D79*차량_정보!C28,F79)+IF(G79="",0,G79)+D79*차량_정보!C39+IF(E79="",0,E79*차량_정보!B16))</f>
        <v/>
      </c>
      <c r="J79" s="89">
        <f>IF(OR(H79="",E79="",E79=0),"",H79/E79)</f>
        <v/>
      </c>
      <c r="K79" s="89">
        <f>IF(OR(H79="",I79=""),"",H79-I79)</f>
        <v/>
      </c>
      <c r="L79" s="108" t="n"/>
    </row>
    <row r="80" ht="15" customHeight="1" s="59">
      <c r="A80" s="107" t="n"/>
      <c r="B80" s="108" t="n"/>
      <c r="C80" s="108" t="n"/>
      <c r="D80" s="110" t="n"/>
      <c r="E80" s="110" t="n"/>
      <c r="F80" s="109" t="n"/>
      <c r="G80" s="109" t="n"/>
      <c r="H80" s="109" t="n"/>
      <c r="I80" s="89">
        <f>IF(D80="","",IF(F80="",D80*차량_정보!C28,F80)+IF(G80="",0,G80)+D80*차량_정보!C39+IF(E80="",0,E80*차량_정보!B16))</f>
        <v/>
      </c>
      <c r="J80" s="89">
        <f>IF(OR(H80="",E80="",E80=0),"",H80/E80)</f>
        <v/>
      </c>
      <c r="K80" s="89">
        <f>IF(OR(H80="",I80=""),"",H80-I80)</f>
        <v/>
      </c>
      <c r="L80" s="108" t="n"/>
    </row>
    <row r="81" ht="15" customHeight="1" s="59">
      <c r="A81" s="107" t="n"/>
      <c r="B81" s="108" t="n"/>
      <c r="C81" s="108" t="n"/>
      <c r="D81" s="110" t="n"/>
      <c r="E81" s="110" t="n"/>
      <c r="F81" s="109" t="n"/>
      <c r="G81" s="109" t="n"/>
      <c r="H81" s="109" t="n"/>
      <c r="I81" s="89">
        <f>IF(D81="","",IF(F81="",D81*차량_정보!C28,F81)+IF(G81="",0,G81)+D81*차량_정보!C39+IF(E81="",0,E81*차량_정보!B16))</f>
        <v/>
      </c>
      <c r="J81" s="89">
        <f>IF(OR(H81="",E81="",E81=0),"",H81/E81)</f>
        <v/>
      </c>
      <c r="K81" s="89">
        <f>IF(OR(H81="",I81=""),"",H81-I81)</f>
        <v/>
      </c>
      <c r="L81" s="108" t="n"/>
    </row>
    <row r="82" ht="15" customHeight="1" s="59">
      <c r="A82" s="107" t="n"/>
      <c r="B82" s="108" t="n"/>
      <c r="C82" s="108" t="n"/>
      <c r="D82" s="110" t="n"/>
      <c r="E82" s="110" t="n"/>
      <c r="F82" s="109" t="n"/>
      <c r="G82" s="109" t="n"/>
      <c r="H82" s="109" t="n"/>
      <c r="I82" s="89">
        <f>IF(D82="","",IF(F82="",D82*차량_정보!C28,F82)+IF(G82="",0,G82)+D82*차량_정보!C39+IF(E82="",0,E82*차량_정보!B16))</f>
        <v/>
      </c>
      <c r="J82" s="89">
        <f>IF(OR(H82="",E82="",E82=0),"",H82/E82)</f>
        <v/>
      </c>
      <c r="K82" s="89">
        <f>IF(OR(H82="",I82=""),"",H82-I82)</f>
        <v/>
      </c>
      <c r="L82" s="108" t="n"/>
    </row>
    <row r="83" ht="15" customHeight="1" s="59">
      <c r="A83" s="107" t="n"/>
      <c r="B83" s="108" t="n"/>
      <c r="C83" s="108" t="n"/>
      <c r="D83" s="110" t="n"/>
      <c r="E83" s="110" t="n"/>
      <c r="F83" s="109" t="n"/>
      <c r="G83" s="109" t="n"/>
      <c r="H83" s="109" t="n"/>
      <c r="I83" s="89">
        <f>IF(D83="","",IF(F83="",D83*차량_정보!C28,F83)+IF(G83="",0,G83)+D83*차량_정보!C39+IF(E83="",0,E83*차량_정보!B16))</f>
        <v/>
      </c>
      <c r="J83" s="89">
        <f>IF(OR(H83="",E83="",E83=0),"",H83/E83)</f>
        <v/>
      </c>
      <c r="K83" s="89">
        <f>IF(OR(H83="",I83=""),"",H83-I83)</f>
        <v/>
      </c>
      <c r="L83" s="108" t="n"/>
    </row>
    <row r="84" ht="15" customHeight="1" s="59">
      <c r="A84" s="107" t="n"/>
      <c r="B84" s="108" t="n"/>
      <c r="C84" s="108" t="n"/>
      <c r="D84" s="110" t="n"/>
      <c r="E84" s="110" t="n"/>
      <c r="F84" s="109" t="n"/>
      <c r="G84" s="109" t="n"/>
      <c r="H84" s="109" t="n"/>
      <c r="I84" s="89">
        <f>IF(D84="","",IF(F84="",D84*차량_정보!C28,F84)+IF(G84="",0,G84)+D84*차량_정보!C39+IF(E84="",0,E84*차량_정보!B16))</f>
        <v/>
      </c>
      <c r="J84" s="89">
        <f>IF(OR(H84="",E84="",E84=0),"",H84/E84)</f>
        <v/>
      </c>
      <c r="K84" s="89">
        <f>IF(OR(H84="",I84=""),"",H84-I84)</f>
        <v/>
      </c>
      <c r="L84" s="108" t="n"/>
    </row>
  </sheetData>
  <mergeCells count="2">
    <mergeCell ref="A3:L3"/>
    <mergeCell ref="A1:L1"/>
  </mergeCells>
  <conditionalFormatting sqref="K5:K85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58" min="1" max="1"/>
    <col width="25" customWidth="1" style="58" min="2" max="2"/>
    <col width="14" customWidth="1" style="58" min="3" max="3"/>
    <col width="12" customWidth="1" style="58" min="4" max="4"/>
    <col width="14" customWidth="1" style="58" min="5" max="5"/>
    <col width="30" customWidth="1" style="58" min="6" max="6"/>
  </cols>
  <sheetData>
    <row r="1" ht="31.5" customHeight="1" s="59">
      <c r="A1" s="60" t="inlineStr">
        <is>
          <t>🔧 정비 영수증 누적 트래커</t>
        </is>
      </c>
    </row>
    <row r="3" ht="11.9" customHeight="1" s="59">
      <c r="A3" s="61" t="inlineStr">
        <is>
          <t>연 정비 충당 €2,500 + 큰수리 예비 €2,000 = 총 €4,500 잔액 추적</t>
        </is>
      </c>
    </row>
    <row r="4" ht="11.9" customHeight="1" s="59">
      <c r="A4" s="61" t="inlineStr">
        <is>
          <t>카테고리: "정기" (오일·타이어·소모품) | "큰수리" (터보·DPF·클러치 등)</t>
        </is>
      </c>
    </row>
    <row r="5" ht="15" customHeight="1" s="59">
      <c r="A5" s="82" t="inlineStr">
        <is>
          <t>항목</t>
        </is>
      </c>
      <c r="B5" s="82" t="inlineStr">
        <is>
          <t>값</t>
        </is>
      </c>
    </row>
    <row r="6" ht="27.6" customHeight="1" s="59">
      <c r="A6" s="111" t="inlineStr">
        <is>
          <t>연 정비 충당 예산 (€)</t>
        </is>
      </c>
      <c r="B6" s="102">
        <f>차량_정보!B12</f>
        <v/>
      </c>
    </row>
    <row r="7" ht="28.35" customHeight="1" s="59">
      <c r="A7" s="111" t="inlineStr">
        <is>
          <t>연 큰수리 예비 예산 (€)</t>
        </is>
      </c>
      <c r="B7" s="102">
        <f>차량_정보!B13</f>
        <v/>
      </c>
    </row>
    <row r="8" ht="27.6" customHeight="1" s="59">
      <c r="A8" s="111" t="inlineStr">
        <is>
          <t>연 총 충당 예산 (€)</t>
        </is>
      </c>
      <c r="B8" s="102">
        <f>B6+B7</f>
        <v/>
      </c>
    </row>
    <row r="9" ht="28.35" customHeight="1" s="59">
      <c r="A9" s="112" t="inlineStr">
        <is>
          <t>YTD 실제 정비 지출 (€)</t>
        </is>
      </c>
      <c r="B9" s="102">
        <f>SUM(D11:D200)</f>
        <v/>
      </c>
    </row>
    <row r="10" ht="15" customHeight="1" s="59">
      <c r="A10" s="82" t="inlineStr">
        <is>
          <t>일자</t>
        </is>
      </c>
      <c r="B10" s="113" t="inlineStr">
        <is>
          <t>항목</t>
        </is>
      </c>
      <c r="C10" s="82" t="inlineStr">
        <is>
          <t>카테고리</t>
        </is>
      </c>
      <c r="D10" s="82" t="inlineStr">
        <is>
          <t>금액 (€)</t>
        </is>
      </c>
      <c r="E10" s="82" t="inlineStr">
        <is>
          <t>주행거리 시점</t>
        </is>
      </c>
      <c r="F10" s="82" t="inlineStr">
        <is>
          <t>메모</t>
        </is>
      </c>
    </row>
    <row r="11" ht="28.35" customHeight="1" s="59">
      <c r="A11" s="107" t="inlineStr">
        <is>
          <t>YTD 큰수리 지출 (€)</t>
        </is>
      </c>
      <c r="B11" s="114">
        <f>SUMIF(C11:C200,"큰수리",D11:D200)</f>
        <v/>
      </c>
      <c r="C11" s="107" t="n"/>
      <c r="D11" s="109" t="n"/>
      <c r="E11" s="75" t="n"/>
      <c r="F11" s="108" t="n"/>
    </row>
    <row r="12" ht="15" customHeight="1" s="59">
      <c r="A12" s="107" t="n"/>
      <c r="B12" s="108" t="n"/>
      <c r="C12" s="107" t="n"/>
      <c r="D12" s="109" t="n"/>
      <c r="E12" s="75" t="n"/>
      <c r="F12" s="108" t="n"/>
    </row>
    <row r="13" ht="15" customHeight="1" s="59">
      <c r="A13" s="107" t="n"/>
      <c r="B13" s="108" t="n"/>
      <c r="C13" s="107" t="n"/>
      <c r="D13" s="109" t="n"/>
      <c r="E13" s="75" t="n"/>
      <c r="F13" s="108" t="n"/>
    </row>
    <row r="14" ht="15" customHeight="1" s="59">
      <c r="A14" s="107" t="n"/>
      <c r="B14" s="108" t="n"/>
      <c r="C14" s="107" t="n"/>
      <c r="D14" s="109" t="n"/>
      <c r="E14" s="75" t="n"/>
      <c r="F14" s="108" t="n"/>
    </row>
    <row r="15" ht="15" customHeight="1" s="59">
      <c r="A15" s="107" t="n"/>
      <c r="B15" s="108" t="n"/>
      <c r="C15" s="107" t="n"/>
      <c r="D15" s="109" t="n"/>
      <c r="E15" s="75" t="n"/>
      <c r="F15" s="108" t="n"/>
    </row>
    <row r="16" ht="15" customHeight="1" s="59">
      <c r="A16" s="107" t="n"/>
      <c r="B16" s="108" t="n"/>
      <c r="C16" s="107" t="n"/>
      <c r="D16" s="109" t="n"/>
      <c r="E16" s="75" t="n"/>
      <c r="F16" s="108" t="n"/>
    </row>
    <row r="17" ht="15" customHeight="1" s="59">
      <c r="A17" s="107" t="n"/>
      <c r="B17" s="108" t="n"/>
      <c r="C17" s="107" t="n"/>
      <c r="D17" s="109" t="n"/>
      <c r="E17" s="75" t="n"/>
      <c r="F17" s="108" t="n"/>
    </row>
    <row r="18" ht="15" customHeight="1" s="59">
      <c r="A18" s="107" t="n"/>
      <c r="B18" s="108" t="n"/>
      <c r="C18" s="107" t="n"/>
      <c r="D18" s="109" t="n"/>
      <c r="E18" s="75" t="n"/>
      <c r="F18" s="108" t="n"/>
    </row>
    <row r="19" ht="15" customHeight="1" s="59">
      <c r="A19" s="107" t="n"/>
      <c r="B19" s="108" t="n"/>
      <c r="C19" s="107" t="n"/>
      <c r="D19" s="109" t="n"/>
      <c r="E19" s="75" t="n"/>
      <c r="F19" s="108" t="n"/>
    </row>
    <row r="20" ht="15" customHeight="1" s="59">
      <c r="A20" s="107" t="n"/>
      <c r="B20" s="108" t="n"/>
      <c r="C20" s="107" t="n"/>
      <c r="D20" s="109" t="n"/>
      <c r="E20" s="75" t="n"/>
      <c r="F20" s="108" t="n"/>
    </row>
    <row r="21" ht="15" customHeight="1" s="59">
      <c r="A21" s="107" t="n"/>
      <c r="B21" s="108" t="n"/>
      <c r="C21" s="107" t="n"/>
      <c r="D21" s="109" t="n"/>
      <c r="E21" s="75" t="n"/>
      <c r="F21" s="108" t="n"/>
    </row>
    <row r="22" ht="15" customHeight="1" s="59">
      <c r="A22" s="107" t="n"/>
      <c r="B22" s="108" t="n"/>
      <c r="C22" s="107" t="n"/>
      <c r="D22" s="109" t="n"/>
      <c r="E22" s="75" t="n"/>
      <c r="F22" s="108" t="n"/>
    </row>
    <row r="23" ht="15" customHeight="1" s="59">
      <c r="A23" s="107" t="n"/>
      <c r="B23" s="108" t="n"/>
      <c r="C23" s="107" t="n"/>
      <c r="D23" s="109" t="n"/>
      <c r="E23" s="75" t="n"/>
      <c r="F23" s="108" t="n"/>
    </row>
    <row r="24" ht="15" customHeight="1" s="59">
      <c r="A24" s="107" t="n"/>
      <c r="B24" s="108" t="n"/>
      <c r="C24" s="107" t="n"/>
      <c r="D24" s="109" t="n"/>
      <c r="E24" s="75" t="n"/>
      <c r="F24" s="108" t="n"/>
    </row>
    <row r="25" ht="15" customHeight="1" s="59">
      <c r="A25" s="107" t="n"/>
      <c r="B25" s="108" t="n"/>
      <c r="C25" s="107" t="n"/>
      <c r="D25" s="109" t="n"/>
      <c r="E25" s="75" t="n"/>
      <c r="F25" s="108" t="n"/>
    </row>
    <row r="26" ht="15" customHeight="1" s="59">
      <c r="A26" s="107" t="n"/>
      <c r="B26" s="108" t="n"/>
      <c r="C26" s="107" t="n"/>
      <c r="D26" s="109" t="n"/>
      <c r="E26" s="75" t="n"/>
      <c r="F26" s="108" t="n"/>
    </row>
    <row r="27" ht="15" customHeight="1" s="59">
      <c r="A27" s="107" t="n"/>
      <c r="B27" s="108" t="n"/>
      <c r="C27" s="107" t="n"/>
      <c r="D27" s="109" t="n"/>
      <c r="E27" s="75" t="n"/>
      <c r="F27" s="108" t="n"/>
    </row>
    <row r="28" ht="15" customHeight="1" s="59">
      <c r="A28" s="107" t="n"/>
      <c r="B28" s="108" t="n"/>
      <c r="C28" s="107" t="n"/>
      <c r="D28" s="109" t="n"/>
      <c r="E28" s="75" t="n"/>
      <c r="F28" s="108" t="n"/>
    </row>
    <row r="29" ht="15" customHeight="1" s="59">
      <c r="A29" s="107" t="n"/>
      <c r="B29" s="108" t="n"/>
      <c r="C29" s="107" t="n"/>
      <c r="D29" s="109" t="n"/>
      <c r="E29" s="75" t="n"/>
      <c r="F29" s="108" t="n"/>
    </row>
    <row r="30" ht="15" customHeight="1" s="59">
      <c r="A30" s="107" t="n"/>
      <c r="B30" s="108" t="n"/>
      <c r="C30" s="107" t="n"/>
      <c r="D30" s="109" t="n"/>
      <c r="E30" s="75" t="n"/>
      <c r="F30" s="108" t="n"/>
    </row>
    <row r="31" ht="15" customHeight="1" s="59">
      <c r="A31" s="107" t="n"/>
      <c r="B31" s="108" t="n"/>
      <c r="C31" s="107" t="n"/>
      <c r="D31" s="109" t="n"/>
      <c r="E31" s="75" t="n"/>
      <c r="F31" s="108" t="n"/>
    </row>
    <row r="32" ht="15" customHeight="1" s="59">
      <c r="A32" s="107" t="n"/>
      <c r="B32" s="108" t="n"/>
      <c r="C32" s="107" t="n"/>
      <c r="D32" s="109" t="n"/>
      <c r="E32" s="75" t="n"/>
      <c r="F32" s="108" t="n"/>
    </row>
    <row r="33" ht="15" customHeight="1" s="59">
      <c r="A33" s="107" t="n"/>
      <c r="B33" s="108" t="n"/>
      <c r="C33" s="107" t="n"/>
      <c r="D33" s="109" t="n"/>
      <c r="E33" s="75" t="n"/>
      <c r="F33" s="108" t="n"/>
    </row>
    <row r="34" ht="15" customHeight="1" s="59">
      <c r="A34" s="107" t="n"/>
      <c r="B34" s="108" t="n"/>
      <c r="C34" s="107" t="n"/>
      <c r="D34" s="109" t="n"/>
      <c r="E34" s="75" t="n"/>
      <c r="F34" s="108" t="n"/>
    </row>
    <row r="35" ht="15" customHeight="1" s="59">
      <c r="A35" s="107" t="n"/>
      <c r="B35" s="108" t="n"/>
      <c r="C35" s="107" t="n"/>
      <c r="D35" s="109" t="n"/>
      <c r="E35" s="75" t="n"/>
      <c r="F35" s="108" t="n"/>
    </row>
    <row r="36" ht="15" customHeight="1" s="59">
      <c r="A36" s="107" t="n"/>
      <c r="B36" s="108" t="n"/>
      <c r="C36" s="107" t="n"/>
      <c r="D36" s="109" t="n"/>
      <c r="E36" s="75" t="n"/>
      <c r="F36" s="108" t="n"/>
    </row>
    <row r="37" ht="15" customHeight="1" s="59">
      <c r="A37" s="107" t="n"/>
      <c r="B37" s="108" t="n"/>
      <c r="C37" s="107" t="n"/>
      <c r="D37" s="109" t="n"/>
      <c r="E37" s="75" t="n"/>
      <c r="F37" s="108" t="n"/>
    </row>
    <row r="38" ht="15" customHeight="1" s="59">
      <c r="A38" s="107" t="n"/>
      <c r="B38" s="108" t="n"/>
      <c r="C38" s="107" t="n"/>
      <c r="D38" s="109" t="n"/>
      <c r="E38" s="75" t="n"/>
      <c r="F38" s="108" t="n"/>
    </row>
    <row r="39" ht="15" customHeight="1" s="59">
      <c r="A39" s="107" t="n"/>
      <c r="B39" s="108" t="n"/>
      <c r="C39" s="107" t="n"/>
      <c r="D39" s="109" t="n"/>
      <c r="E39" s="75" t="n"/>
      <c r="F39" s="108" t="n"/>
    </row>
    <row r="40" ht="15" customHeight="1" s="59">
      <c r="A40" s="107" t="n"/>
      <c r="B40" s="108" t="n"/>
      <c r="C40" s="107" t="n"/>
      <c r="D40" s="109" t="n"/>
      <c r="E40" s="75" t="n"/>
      <c r="F40" s="108" t="n"/>
    </row>
    <row r="41" ht="15" customHeight="1" s="59">
      <c r="A41" s="107" t="n"/>
      <c r="B41" s="108" t="n"/>
      <c r="C41" s="107" t="n"/>
      <c r="D41" s="109" t="n"/>
      <c r="E41" s="75" t="n"/>
      <c r="F41" s="108" t="n"/>
    </row>
    <row r="42" ht="15" customHeight="1" s="59">
      <c r="A42" s="107" t="n"/>
      <c r="B42" s="108" t="n"/>
      <c r="C42" s="107" t="n"/>
      <c r="D42" s="109" t="n"/>
      <c r="E42" s="75" t="n"/>
      <c r="F42" s="108" t="n"/>
    </row>
    <row r="43" ht="15" customHeight="1" s="59">
      <c r="A43" s="107" t="n"/>
      <c r="B43" s="108" t="n"/>
      <c r="C43" s="107" t="n"/>
      <c r="D43" s="109" t="n"/>
      <c r="E43" s="75" t="n"/>
      <c r="F43" s="108" t="n"/>
    </row>
    <row r="44" ht="15" customHeight="1" s="59">
      <c r="A44" s="107" t="n"/>
      <c r="B44" s="108" t="n"/>
      <c r="C44" s="107" t="n"/>
      <c r="D44" s="109" t="n"/>
      <c r="E44" s="75" t="n"/>
      <c r="F44" s="108" t="n"/>
    </row>
    <row r="45" ht="15" customHeight="1" s="59">
      <c r="A45" s="107" t="n"/>
      <c r="B45" s="108" t="n"/>
      <c r="C45" s="107" t="n"/>
      <c r="D45" s="109" t="n"/>
      <c r="E45" s="75" t="n"/>
      <c r="F45" s="108" t="n"/>
    </row>
    <row r="46" ht="15" customHeight="1" s="59">
      <c r="A46" s="107" t="n"/>
      <c r="B46" s="108" t="n"/>
      <c r="C46" s="107" t="n"/>
      <c r="D46" s="109" t="n"/>
      <c r="E46" s="75" t="n"/>
      <c r="F46" s="108" t="n"/>
    </row>
    <row r="47" ht="15" customHeight="1" s="59">
      <c r="A47" s="107" t="n"/>
      <c r="B47" s="108" t="n"/>
      <c r="C47" s="107" t="n"/>
      <c r="D47" s="109" t="n"/>
      <c r="E47" s="75" t="n"/>
      <c r="F47" s="108" t="n"/>
    </row>
    <row r="48" ht="15" customHeight="1" s="59">
      <c r="A48" s="107" t="n"/>
      <c r="B48" s="108" t="n"/>
      <c r="C48" s="107" t="n"/>
      <c r="D48" s="109" t="n"/>
      <c r="E48" s="75" t="n"/>
      <c r="F48" s="108" t="n"/>
    </row>
    <row r="49" ht="15" customHeight="1" s="59">
      <c r="A49" s="107" t="n"/>
      <c r="B49" s="108" t="n"/>
      <c r="C49" s="107" t="n"/>
      <c r="D49" s="109" t="n"/>
      <c r="E49" s="75" t="n"/>
      <c r="F49" s="108" t="n"/>
    </row>
    <row r="50" ht="15" customHeight="1" s="59">
      <c r="A50" s="107" t="n"/>
      <c r="B50" s="108" t="n"/>
      <c r="C50" s="107" t="n"/>
      <c r="D50" s="109" t="n"/>
      <c r="E50" s="75" t="n"/>
      <c r="F50" s="108" t="n"/>
    </row>
    <row r="51" ht="15" customHeight="1" s="59">
      <c r="A51" s="107" t="n"/>
      <c r="B51" s="108" t="n"/>
      <c r="C51" s="107" t="n"/>
      <c r="D51" s="109" t="n"/>
      <c r="E51" s="75" t="n"/>
      <c r="F51" s="108" t="n"/>
    </row>
    <row r="52" ht="15" customHeight="1" s="59">
      <c r="A52" s="107" t="n"/>
      <c r="B52" s="108" t="n"/>
      <c r="C52" s="107" t="n"/>
      <c r="D52" s="109" t="n"/>
      <c r="E52" s="75" t="n"/>
      <c r="F52" s="108" t="n"/>
    </row>
    <row r="53" ht="15" customHeight="1" s="59">
      <c r="A53" s="107" t="n"/>
      <c r="B53" s="108" t="n"/>
      <c r="C53" s="107" t="n"/>
      <c r="D53" s="109" t="n"/>
      <c r="E53" s="75" t="n"/>
      <c r="F53" s="108" t="n"/>
    </row>
    <row r="54" ht="15" customHeight="1" s="59">
      <c r="A54" s="107" t="n"/>
      <c r="B54" s="108" t="n"/>
      <c r="C54" s="107" t="n"/>
      <c r="D54" s="109" t="n"/>
      <c r="E54" s="75" t="n"/>
      <c r="F54" s="108" t="n"/>
    </row>
    <row r="55" ht="15" customHeight="1" s="59">
      <c r="A55" s="107" t="n"/>
      <c r="B55" s="108" t="n"/>
      <c r="C55" s="107" t="n"/>
      <c r="D55" s="109" t="n"/>
      <c r="E55" s="75" t="n"/>
      <c r="F55" s="108" t="n"/>
    </row>
    <row r="56" ht="15" customHeight="1" s="59">
      <c r="A56" s="107" t="n"/>
      <c r="B56" s="108" t="n"/>
      <c r="C56" s="107" t="n"/>
      <c r="D56" s="109" t="n"/>
      <c r="E56" s="75" t="n"/>
      <c r="F56" s="108" t="n"/>
    </row>
    <row r="57" ht="15" customHeight="1" s="59">
      <c r="A57" s="107" t="n"/>
      <c r="B57" s="108" t="n"/>
      <c r="C57" s="107" t="n"/>
      <c r="D57" s="109" t="n"/>
      <c r="E57" s="75" t="n"/>
      <c r="F57" s="108" t="n"/>
    </row>
    <row r="58" ht="15" customHeight="1" s="59">
      <c r="A58" s="107" t="n"/>
      <c r="B58" s="108" t="n"/>
      <c r="C58" s="107" t="n"/>
      <c r="D58" s="109" t="n"/>
      <c r="E58" s="75" t="n"/>
      <c r="F58" s="108" t="n"/>
    </row>
    <row r="59" ht="15" customHeight="1" s="59">
      <c r="A59" s="107" t="n"/>
      <c r="B59" s="108" t="n"/>
      <c r="C59" s="107" t="n"/>
      <c r="D59" s="109" t="n"/>
      <c r="E59" s="75" t="n"/>
      <c r="F59" s="108" t="n"/>
    </row>
    <row r="60" ht="15" customHeight="1" s="59">
      <c r="A60" s="107" t="n"/>
      <c r="B60" s="108" t="n"/>
      <c r="C60" s="107" t="n"/>
      <c r="D60" s="109" t="n"/>
      <c r="E60" s="75" t="n"/>
      <c r="F60" s="108" t="n"/>
    </row>
    <row r="61" ht="15" customHeight="1" s="59">
      <c r="A61" s="107" t="n"/>
      <c r="B61" s="108" t="n"/>
      <c r="C61" s="107" t="n"/>
      <c r="D61" s="109" t="n"/>
      <c r="E61" s="75" t="n"/>
      <c r="F61" s="108" t="n"/>
    </row>
    <row r="62" ht="15" customHeight="1" s="59">
      <c r="A62" s="107" t="n"/>
      <c r="B62" s="108" t="n"/>
      <c r="C62" s="107" t="n"/>
      <c r="D62" s="109" t="n"/>
      <c r="E62" s="75" t="n"/>
      <c r="F62" s="108" t="n"/>
    </row>
    <row r="63" ht="15" customHeight="1" s="59">
      <c r="A63" s="107" t="n"/>
      <c r="B63" s="108" t="n"/>
      <c r="C63" s="107" t="n"/>
      <c r="D63" s="109" t="n"/>
      <c r="E63" s="75" t="n"/>
      <c r="F63" s="108" t="n"/>
    </row>
    <row r="64" ht="15" customHeight="1" s="59">
      <c r="A64" s="107" t="n"/>
      <c r="B64" s="108" t="n"/>
      <c r="C64" s="107" t="n"/>
      <c r="D64" s="109" t="n"/>
      <c r="E64" s="75" t="n"/>
      <c r="F64" s="108" t="n"/>
    </row>
    <row r="65" ht="15" customHeight="1" s="59">
      <c r="A65" s="107" t="n"/>
      <c r="B65" s="108" t="n"/>
      <c r="C65" s="107" t="n"/>
      <c r="D65" s="109" t="n"/>
      <c r="E65" s="75" t="n"/>
      <c r="F65" s="108" t="n"/>
    </row>
    <row r="66" ht="15" customHeight="1" s="59">
      <c r="A66" s="107" t="n"/>
      <c r="B66" s="108" t="n"/>
      <c r="C66" s="107" t="n"/>
      <c r="D66" s="109" t="n"/>
      <c r="E66" s="75" t="n"/>
      <c r="F66" s="108" t="n"/>
    </row>
    <row r="67" ht="15" customHeight="1" s="59">
      <c r="A67" s="107" t="n"/>
      <c r="B67" s="108" t="n"/>
      <c r="C67" s="107" t="n"/>
      <c r="D67" s="109" t="n"/>
      <c r="E67" s="75" t="n"/>
      <c r="F67" s="108" t="n"/>
    </row>
    <row r="68" ht="15" customHeight="1" s="59">
      <c r="A68" s="107" t="n"/>
      <c r="B68" s="108" t="n"/>
      <c r="C68" s="107" t="n"/>
      <c r="D68" s="109" t="n"/>
      <c r="E68" s="75" t="n"/>
      <c r="F68" s="108" t="n"/>
    </row>
    <row r="69" ht="15" customHeight="1" s="59">
      <c r="A69" s="107" t="n"/>
      <c r="B69" s="108" t="n"/>
      <c r="C69" s="107" t="n"/>
      <c r="D69" s="109" t="n"/>
      <c r="E69" s="75" t="n"/>
      <c r="F69" s="108" t="n"/>
    </row>
    <row r="70" ht="15" customHeight="1" s="59">
      <c r="A70" s="107" t="n"/>
      <c r="B70" s="108" t="n"/>
      <c r="C70" s="107" t="n"/>
      <c r="D70" s="109" t="n"/>
      <c r="E70" s="75" t="n"/>
      <c r="F70" s="108" t="n"/>
    </row>
    <row r="71" ht="15" customHeight="1" s="59">
      <c r="A71" s="107" t="n"/>
      <c r="B71" s="108" t="n"/>
      <c r="C71" s="107" t="n"/>
      <c r="D71" s="109" t="n"/>
      <c r="E71" s="75" t="n"/>
      <c r="F71" s="108" t="n"/>
    </row>
    <row r="72" ht="15" customHeight="1" s="59">
      <c r="A72" s="107" t="n"/>
      <c r="B72" s="108" t="n"/>
      <c r="C72" s="107" t="n"/>
      <c r="D72" s="109" t="n"/>
      <c r="E72" s="75" t="n"/>
      <c r="F72" s="108" t="n"/>
    </row>
    <row r="73" ht="15" customHeight="1" s="59">
      <c r="A73" s="107" t="n"/>
      <c r="B73" s="108" t="n"/>
      <c r="C73" s="107" t="n"/>
      <c r="D73" s="109" t="n"/>
      <c r="E73" s="75" t="n"/>
      <c r="F73" s="108" t="n"/>
    </row>
    <row r="74" ht="15" customHeight="1" s="59">
      <c r="A74" s="107" t="n"/>
      <c r="B74" s="108" t="n"/>
      <c r="C74" s="107" t="n"/>
      <c r="D74" s="109" t="n"/>
      <c r="E74" s="75" t="n"/>
      <c r="F74" s="108" t="n"/>
    </row>
    <row r="75" ht="15" customHeight="1" s="59">
      <c r="A75" s="107" t="n"/>
      <c r="B75" s="108" t="n"/>
      <c r="C75" s="107" t="n"/>
      <c r="D75" s="109" t="n"/>
      <c r="E75" s="75" t="n"/>
      <c r="F75" s="108" t="n"/>
    </row>
    <row r="76" ht="15" customHeight="1" s="59">
      <c r="A76" s="107" t="n"/>
      <c r="B76" s="108" t="n"/>
      <c r="C76" s="107" t="n"/>
      <c r="D76" s="109" t="n"/>
      <c r="E76" s="75" t="n"/>
      <c r="F76" s="108" t="n"/>
    </row>
    <row r="77" ht="15" customHeight="1" s="59">
      <c r="A77" s="107" t="n"/>
      <c r="B77" s="108" t="n"/>
      <c r="C77" s="107" t="n"/>
      <c r="D77" s="109" t="n"/>
      <c r="E77" s="75" t="n"/>
      <c r="F77" s="108" t="n"/>
    </row>
    <row r="78" ht="15" customHeight="1" s="59">
      <c r="A78" s="107" t="n"/>
      <c r="B78" s="108" t="n"/>
      <c r="C78" s="107" t="n"/>
      <c r="D78" s="109" t="n"/>
      <c r="E78" s="75" t="n"/>
      <c r="F78" s="108" t="n"/>
    </row>
    <row r="79" ht="15" customHeight="1" s="59">
      <c r="A79" s="107" t="n"/>
      <c r="B79" s="108" t="n"/>
      <c r="C79" s="107" t="n"/>
      <c r="D79" s="109" t="n"/>
      <c r="E79" s="75" t="n"/>
      <c r="F79" s="108" t="n"/>
    </row>
    <row r="80" ht="15" customHeight="1" s="59">
      <c r="A80" s="107" t="n"/>
      <c r="B80" s="108" t="n"/>
      <c r="C80" s="107" t="n"/>
      <c r="D80" s="109" t="n"/>
      <c r="E80" s="75" t="n"/>
      <c r="F80" s="108" t="n"/>
    </row>
    <row r="81" ht="15" customHeight="1" s="59">
      <c r="A81" s="107" t="n"/>
      <c r="B81" s="108" t="n"/>
      <c r="C81" s="107" t="n"/>
      <c r="D81" s="109" t="n"/>
      <c r="E81" s="75" t="n"/>
      <c r="F81" s="108" t="n"/>
    </row>
    <row r="82" ht="15" customHeight="1" s="59">
      <c r="A82" s="107" t="n"/>
      <c r="B82" s="108" t="n"/>
      <c r="C82" s="107" t="n"/>
      <c r="D82" s="109" t="n"/>
      <c r="E82" s="75" t="n"/>
      <c r="F82" s="108" t="n"/>
    </row>
    <row r="83" ht="15" customHeight="1" s="59">
      <c r="A83" s="107" t="n"/>
      <c r="B83" s="108" t="n"/>
      <c r="C83" s="107" t="n"/>
      <c r="D83" s="109" t="n"/>
      <c r="E83" s="75" t="n"/>
      <c r="F83" s="108" t="n"/>
    </row>
    <row r="84" ht="15" customHeight="1" s="59">
      <c r="A84" s="107" t="n"/>
      <c r="B84" s="108" t="n"/>
      <c r="C84" s="107" t="n"/>
      <c r="D84" s="109" t="n"/>
      <c r="E84" s="75" t="n"/>
      <c r="F84" s="108" t="n"/>
    </row>
    <row r="85" ht="15" customHeight="1" s="59">
      <c r="A85" s="107" t="n"/>
      <c r="B85" s="108" t="n"/>
      <c r="C85" s="107" t="n"/>
      <c r="D85" s="109" t="n"/>
      <c r="E85" s="75" t="n"/>
      <c r="F85" s="108" t="n"/>
    </row>
    <row r="86" ht="15" customHeight="1" s="59">
      <c r="A86" s="107" t="n"/>
      <c r="B86" s="108" t="n"/>
      <c r="C86" s="107" t="n"/>
      <c r="D86" s="109" t="n"/>
      <c r="E86" s="75" t="n"/>
      <c r="F86" s="108" t="n"/>
    </row>
    <row r="87" ht="15" customHeight="1" s="59">
      <c r="A87" s="107" t="n"/>
      <c r="B87" s="108" t="n"/>
      <c r="C87" s="107" t="n"/>
      <c r="D87" s="109" t="n"/>
      <c r="E87" s="75" t="n"/>
      <c r="F87" s="108" t="n"/>
    </row>
    <row r="88" ht="15" customHeight="1" s="59">
      <c r="A88" s="107" t="n"/>
      <c r="B88" s="108" t="n"/>
      <c r="C88" s="107" t="n"/>
      <c r="D88" s="109" t="n"/>
      <c r="E88" s="75" t="n"/>
      <c r="F88" s="108" t="n"/>
    </row>
    <row r="89" ht="15" customHeight="1" s="59">
      <c r="A89" s="107" t="n"/>
      <c r="B89" s="108" t="n"/>
      <c r="C89" s="107" t="n"/>
      <c r="D89" s="109" t="n"/>
      <c r="E89" s="75" t="n"/>
      <c r="F89" s="108" t="n"/>
    </row>
    <row r="90" ht="15" customHeight="1" s="59">
      <c r="A90" s="107" t="n"/>
      <c r="B90" s="108" t="n"/>
      <c r="C90" s="107" t="n"/>
      <c r="D90" s="109" t="n"/>
      <c r="E90" s="75" t="n"/>
      <c r="F90" s="108" t="n"/>
    </row>
    <row r="91" ht="15" customHeight="1" s="59">
      <c r="A91" s="107" t="n"/>
      <c r="B91" s="108" t="n"/>
      <c r="C91" s="107" t="n"/>
      <c r="D91" s="109" t="n"/>
      <c r="E91" s="75" t="n"/>
      <c r="F91" s="108" t="n"/>
    </row>
    <row r="92" ht="15" customHeight="1" s="59">
      <c r="A92" s="107" t="n"/>
      <c r="B92" s="108" t="n"/>
      <c r="C92" s="107" t="n"/>
      <c r="D92" s="109" t="n"/>
      <c r="E92" s="75" t="n"/>
      <c r="F92" s="108" t="n"/>
    </row>
    <row r="93" ht="15" customHeight="1" s="59">
      <c r="A93" s="107" t="n"/>
      <c r="B93" s="108" t="n"/>
      <c r="C93" s="107" t="n"/>
      <c r="D93" s="109" t="n"/>
      <c r="E93" s="75" t="n"/>
      <c r="F93" s="108" t="n"/>
    </row>
    <row r="94" ht="15" customHeight="1" s="59">
      <c r="A94" s="107" t="n"/>
      <c r="B94" s="108" t="n"/>
      <c r="C94" s="107" t="n"/>
      <c r="D94" s="109" t="n"/>
      <c r="E94" s="75" t="n"/>
      <c r="F94" s="108" t="n"/>
    </row>
    <row r="95" ht="15" customHeight="1" s="59">
      <c r="A95" s="107" t="n"/>
      <c r="B95" s="108" t="n"/>
      <c r="C95" s="107" t="n"/>
      <c r="D95" s="109" t="n"/>
      <c r="E95" s="75" t="n"/>
      <c r="F95" s="108" t="n"/>
    </row>
    <row r="96" ht="15" customHeight="1" s="59">
      <c r="A96" s="107" t="n"/>
      <c r="B96" s="108" t="n"/>
      <c r="C96" s="107" t="n"/>
      <c r="D96" s="109" t="n"/>
      <c r="E96" s="75" t="n"/>
      <c r="F96" s="108" t="n"/>
    </row>
    <row r="97" ht="15" customHeight="1" s="59">
      <c r="A97" s="107" t="n"/>
      <c r="B97" s="108" t="n"/>
      <c r="C97" s="107" t="n"/>
      <c r="D97" s="109" t="n"/>
      <c r="E97" s="75" t="n"/>
      <c r="F97" s="108" t="n"/>
    </row>
    <row r="98" ht="15" customHeight="1" s="59">
      <c r="A98" s="107" t="n"/>
      <c r="B98" s="108" t="n"/>
      <c r="C98" s="107" t="n"/>
      <c r="D98" s="109" t="n"/>
      <c r="E98" s="75" t="n"/>
      <c r="F98" s="108" t="n"/>
    </row>
    <row r="99" ht="15" customHeight="1" s="59">
      <c r="A99" s="107" t="n"/>
      <c r="B99" s="108" t="n"/>
      <c r="C99" s="107" t="n"/>
      <c r="D99" s="109" t="n"/>
      <c r="E99" s="75" t="n"/>
      <c r="F99" s="108" t="n"/>
    </row>
    <row r="100" ht="15" customHeight="1" s="59">
      <c r="A100" s="107" t="n"/>
      <c r="B100" s="108" t="n"/>
      <c r="C100" s="107" t="n"/>
      <c r="D100" s="109" t="n"/>
      <c r="E100" s="75" t="n"/>
      <c r="F100" s="108" t="n"/>
    </row>
    <row r="101" ht="15" customHeight="1" s="59">
      <c r="A101" s="107" t="n"/>
      <c r="B101" s="108" t="n"/>
      <c r="C101" s="107" t="n"/>
      <c r="D101" s="109" t="n"/>
      <c r="E101" s="75" t="n"/>
      <c r="F101" s="108" t="n"/>
    </row>
    <row r="102" ht="15" customHeight="1" s="59">
      <c r="A102" s="107" t="n"/>
      <c r="B102" s="108" t="n"/>
      <c r="C102" s="107" t="n"/>
      <c r="D102" s="109" t="n"/>
      <c r="E102" s="75" t="n"/>
      <c r="F102" s="108" t="n"/>
    </row>
    <row r="103" ht="15" customHeight="1" s="59">
      <c r="A103" s="107" t="n"/>
      <c r="B103" s="108" t="n"/>
      <c r="C103" s="107" t="n"/>
      <c r="D103" s="109" t="n"/>
      <c r="E103" s="75" t="n"/>
      <c r="F103" s="108" t="n"/>
    </row>
    <row r="104" ht="15" customHeight="1" s="59">
      <c r="A104" s="107" t="n"/>
      <c r="B104" s="108" t="n"/>
      <c r="C104" s="107" t="n"/>
      <c r="D104" s="109" t="n"/>
      <c r="E104" s="75" t="n"/>
      <c r="F104" s="108" t="n"/>
    </row>
    <row r="105" ht="15" customHeight="1" s="59">
      <c r="A105" s="107" t="n"/>
      <c r="B105" s="108" t="n"/>
      <c r="C105" s="107" t="n"/>
      <c r="D105" s="109" t="n"/>
      <c r="E105" s="75" t="n"/>
      <c r="F105" s="108" t="n"/>
    </row>
    <row r="106" ht="15" customHeight="1" s="59">
      <c r="A106" s="107" t="n"/>
      <c r="B106" s="108" t="n"/>
      <c r="C106" s="107" t="n"/>
      <c r="D106" s="109" t="n"/>
      <c r="E106" s="75" t="n"/>
      <c r="F106" s="108" t="n"/>
    </row>
    <row r="107" ht="15" customHeight="1" s="59">
      <c r="A107" s="107" t="n"/>
      <c r="B107" s="108" t="n"/>
      <c r="C107" s="107" t="n"/>
      <c r="D107" s="109" t="n"/>
      <c r="E107" s="75" t="n"/>
      <c r="F107" s="108" t="n"/>
    </row>
    <row r="108" ht="15" customHeight="1" s="59">
      <c r="A108" s="107" t="n"/>
      <c r="B108" s="108" t="n"/>
      <c r="C108" s="107" t="n"/>
      <c r="D108" s="109" t="n"/>
      <c r="E108" s="75" t="n"/>
      <c r="F108" s="108" t="n"/>
    </row>
    <row r="109" ht="15" customHeight="1" s="59">
      <c r="A109" s="107" t="n"/>
      <c r="B109" s="108" t="n"/>
      <c r="C109" s="107" t="n"/>
      <c r="D109" s="109" t="n"/>
      <c r="E109" s="75" t="n"/>
      <c r="F109" s="108" t="n"/>
    </row>
    <row r="110" ht="15" customHeight="1" s="59">
      <c r="A110" s="107" t="n"/>
      <c r="B110" s="108" t="n"/>
      <c r="C110" s="107" t="n"/>
      <c r="D110" s="109" t="n"/>
      <c r="E110" s="75" t="n"/>
      <c r="F110" s="108" t="n"/>
    </row>
  </sheetData>
  <mergeCells count="3">
    <mergeCell ref="A3:F3"/>
    <mergeCell ref="A1:F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58" min="1" max="1"/>
    <col width="16" customWidth="1" style="58" min="2" max="2"/>
    <col width="30" customWidth="1" style="58" min="3" max="3"/>
    <col width="12" customWidth="1" style="58" min="4" max="5"/>
  </cols>
  <sheetData>
    <row r="1" ht="31.5" customHeight="1" s="59">
      <c r="A1" s="60" t="inlineStr">
        <is>
          <t>🧮 가격 계산기 — 거리·인원·티어 입력</t>
        </is>
      </c>
    </row>
    <row r="3" ht="17.9" customHeight="1" s="59">
      <c r="A3" s="62" t="inlineStr">
        <is>
          <t>입력 (노란 셀)</t>
        </is>
      </c>
    </row>
    <row r="4" ht="15" customHeight="1" s="59">
      <c r="A4" s="111" t="inlineStr">
        <is>
          <t>거리 (km, 왕복) — 여행/픽업/이사용</t>
        </is>
      </c>
      <c r="B4" s="75" t="n">
        <v>200</v>
      </c>
    </row>
    <row r="5" ht="15" customHeight="1" s="59">
      <c r="A5" s="111" t="inlineStr">
        <is>
          <t>시간 (h, 운행 + 가이드)</t>
        </is>
      </c>
      <c r="B5" s="75" t="n">
        <v>8</v>
      </c>
    </row>
    <row r="6" ht="15" customHeight="1" s="59">
      <c r="A6" s="111" t="inlineStr">
        <is>
          <t>친구 인원 (운전자 제외)</t>
        </is>
      </c>
      <c r="B6" s="75" t="n">
        <v>4</v>
      </c>
    </row>
    <row r="7" ht="15" customHeight="1" s="59">
      <c r="A7" s="111" t="inlineStr">
        <is>
          <t>티어 (1=절친 / 2=친구 / 3=지인)</t>
        </is>
      </c>
      <c r="B7" s="75" t="n">
        <v>2</v>
      </c>
    </row>
    <row r="8" ht="15" customHeight="1" s="59">
      <c r="A8" s="112" t="inlineStr">
        <is>
          <t>🆕 IKEA → 집 거리 (km, 편도)</t>
        </is>
      </c>
      <c r="B8" s="75" t="n">
        <v>12</v>
      </c>
    </row>
    <row r="10" ht="17.9" customHeight="1" s="59">
      <c r="A10" s="62" t="inlineStr">
        <is>
          <t>출력 (자동 계산)</t>
        </is>
      </c>
    </row>
    <row r="11" ht="15" customHeight="1" s="59">
      <c r="A11" s="82" t="inlineStr">
        <is>
          <t>항목</t>
        </is>
      </c>
      <c r="B11" s="82" t="inlineStr">
        <is>
          <t>값</t>
        </is>
      </c>
      <c r="C11" s="82" t="inlineStr">
        <is>
          <t>메모</t>
        </is>
      </c>
    </row>
    <row r="12" ht="15" customHeight="1" s="59">
      <c r="A12" s="67" t="inlineStr">
        <is>
          <t>진짜 km당 실비</t>
        </is>
      </c>
      <c r="B12" s="70">
        <f>차량_정보!C38</f>
        <v/>
      </c>
      <c r="C12" s="88" t="inlineStr">
        <is>
          <t>차량_정보 시트에서 자동 참조</t>
        </is>
      </c>
    </row>
    <row r="13" ht="15" customHeight="1" s="59">
      <c r="A13" s="67" t="inlineStr">
        <is>
          <t>총 진짜 비용</t>
        </is>
      </c>
      <c r="B13" s="115">
        <f>B4*차량_정보!C38</f>
        <v/>
      </c>
      <c r="C13" s="87" t="inlineStr">
        <is>
          <t>km × km당 실비</t>
        </is>
      </c>
    </row>
    <row r="14" ht="15" customHeight="1" s="59">
      <c r="A14" s="67" t="inlineStr">
        <is>
          <t>마모/감가 부분</t>
        </is>
      </c>
      <c r="B14" s="115">
        <f>B4*차량_정보!C39</f>
        <v/>
      </c>
      <c r="C14" s="88" t="inlineStr">
        <is>
          <t>친구 보조금 계산용</t>
        </is>
      </c>
    </row>
    <row r="15" ht="15" customHeight="1" s="59">
      <c r="A15" s="67" t="inlineStr">
        <is>
          <t>🌿 여행 모드 1인당 (Tier 1 절친 €0.15)</t>
        </is>
      </c>
      <c r="B15" s="115">
        <f>B4*0.15</f>
        <v/>
      </c>
      <c r="C15" s="87" t="inlineStr">
        <is>
          <t>4명이면 ×4</t>
        </is>
      </c>
    </row>
    <row r="16" ht="15" customHeight="1" s="59">
      <c r="A16" s="67" t="inlineStr">
        <is>
          <t>🌿 여행 모드 1인당 (Tier 2 친구 €0.20)</t>
        </is>
      </c>
      <c r="B16" s="115">
        <f>B4*0.2</f>
        <v/>
      </c>
      <c r="C16" s="88" t="n"/>
    </row>
    <row r="17" ht="15" customHeight="1" s="59">
      <c r="A17" s="67" t="inlineStr">
        <is>
          <t>🌿 여행 모드 1인당 (Tier 3 지인 €0.25)</t>
        </is>
      </c>
      <c r="B17" s="115">
        <f>B4*0.25</f>
        <v/>
      </c>
      <c r="C17" s="88" t="n"/>
    </row>
    <row r="18" ht="15" customHeight="1" s="59">
      <c r="A18" s="67" t="inlineStr">
        <is>
          <t>🌿 여행 모드 그룹 합계 (선택 티어)</t>
        </is>
      </c>
      <c r="B18" s="115">
        <f>B4*CHOOSE(B7,0.15,0.2,0.25)*B6</f>
        <v/>
      </c>
      <c r="C18" s="88" t="inlineStr">
        <is>
          <t>거리 × 티어 × 인원</t>
        </is>
      </c>
    </row>
    <row r="19" ht="15" customHeight="1" s="59">
      <c r="A19" s="67" t="inlineStr">
        <is>
          <t>🚗 픽업 모드 권장가 (시내 12km 이내)</t>
        </is>
      </c>
      <c r="B19" s="71">
        <f>45</f>
        <v/>
      </c>
      <c r="C19" s="88" t="inlineStr">
        <is>
          <t>톨·1h 대기 포함</t>
        </is>
      </c>
    </row>
    <row r="20" ht="15" customHeight="1" s="59">
      <c r="A20" s="67" t="inlineStr">
        <is>
          <t>🚗 픽업 모드 권장가 (외곽, 12km 초과)</t>
        </is>
      </c>
      <c r="B20" s="115">
        <f>IF(B4&lt;=12,45,45+(B4-12)*1.5)</f>
        <v/>
      </c>
      <c r="C20" s="87" t="inlineStr">
        <is>
          <t>12km 초과분 ×€1.5</t>
        </is>
      </c>
    </row>
    <row r="21" ht="15" customHeight="1" s="59">
      <c r="A21" s="67" t="inlineStr">
        <is>
          <t>🏠 이사 모드 권장가 (시간 + km)</t>
        </is>
      </c>
      <c r="B21" s="115">
        <f>B5*차량_정보!B17+B4*0.5+30</f>
        <v/>
      </c>
      <c r="C21" s="88" t="inlineStr">
        <is>
          <t>시간 × €20 + km × €0.5 + 기본 €30</t>
        </is>
      </c>
    </row>
    <row r="22" ht="15" customHeight="1" s="59">
      <c r="A22" s="67" t="inlineStr">
        <is>
          <t>📦 시내 짐 운송 (1h, 캐리어/박스)</t>
        </is>
      </c>
      <c r="B22" s="71">
        <f>40</f>
        <v/>
      </c>
      <c r="C22" s="87" t="inlineStr">
        <is>
          <t>Red Door €45 대비 −€5</t>
        </is>
      </c>
    </row>
    <row r="23" ht="15" customHeight="1" s="59">
      <c r="A23" s="79" t="inlineStr">
        <is>
          <t>🆕 📦 IKEA Tier A 권장가 (Zone 자동)</t>
        </is>
      </c>
      <c r="B23" s="71">
        <f>IF(B8="","",IF(B8&lt;=10,50,IF(B8&lt;=20,60,IF(B8&lt;=30,75,IF(B8&lt;=50,100,50+(B8-10)*2)))))</f>
        <v/>
      </c>
      <c r="C23" s="87" t="inlineStr">
        <is>
          <t>IKEA → 집 거리 입력 (B8)</t>
        </is>
      </c>
    </row>
    <row r="24" ht="15" customHeight="1" s="59">
      <c r="A24" s="67" t="inlineStr">
        <is>
          <t xml:space="preserve">   ↳ 해당 Zone</t>
        </is>
      </c>
      <c r="B24" s="116">
        <f>IF(B8="","",IF(B8&lt;=10,"Zone 1 (시내, 0–10km)",IF(B8&lt;=20,"Zone 2 (외곽, 10–20km)",IF(B8&lt;=30,"Zone 3 (그레이터, 20–30km)",IF(B8&lt;=50,"Zone 4 (지방, 30–50km)","Zone 5 (50km+)")))))</f>
        <v/>
      </c>
      <c r="C24" s="88" t="inlineStr">
        <is>
          <t>거리 기반 자동 분류</t>
        </is>
      </c>
    </row>
    <row r="25" ht="15" customHeight="1" s="59">
      <c r="A25" s="79" t="inlineStr">
        <is>
          <t xml:space="preserve">   ↳ 50km+ 시 km당 추가</t>
        </is>
      </c>
      <c r="B25" s="116">
        <f>IF(B8&lt;=50,"적용 안 함","€2/km × ("&amp;(B8-10)&amp;"km−10)")</f>
        <v/>
      </c>
      <c r="C25" s="88" t="inlineStr">
        <is>
          <t>존5 공식: €50 + (거리−10)×€2</t>
        </is>
      </c>
    </row>
    <row r="28" ht="17.9" customHeight="1" s="59">
      <c r="A28" s="81" t="inlineStr">
        <is>
          <t>📋 6개 행선지 빠른 참조 (4명 그룹)</t>
        </is>
      </c>
    </row>
    <row r="29" ht="15" customHeight="1" s="59">
      <c r="A29" s="82" t="inlineStr">
        <is>
          <t>행선지</t>
        </is>
      </c>
      <c r="B29" s="83" t="inlineStr">
        <is>
          <t>km</t>
        </is>
      </c>
      <c r="C29" s="83" t="inlineStr">
        <is>
          <t>Tier 1 (절친)</t>
        </is>
      </c>
      <c r="D29" s="83" t="inlineStr">
        <is>
          <t>Tier 2 (친구)</t>
        </is>
      </c>
      <c r="E29" s="83" t="inlineStr">
        <is>
          <t>Tier 3 (지인)</t>
        </is>
      </c>
    </row>
    <row r="30" ht="15" customHeight="1" s="59">
      <c r="A30" s="79" t="inlineStr">
        <is>
          <t>Wicklow</t>
        </is>
      </c>
      <c r="B30" s="117" t="n">
        <v>150</v>
      </c>
      <c r="C30" s="102" t="n">
        <v>22.5</v>
      </c>
      <c r="D30" s="102" t="n">
        <v>30</v>
      </c>
      <c r="E30" s="102" t="n">
        <v>37.5</v>
      </c>
    </row>
    <row r="31" ht="15" customHeight="1" s="59">
      <c r="A31" s="67" t="inlineStr">
        <is>
          <t>골웨이/번래티</t>
        </is>
      </c>
      <c r="B31" s="117" t="n">
        <v>420</v>
      </c>
      <c r="C31" s="102" t="n">
        <v>63</v>
      </c>
      <c r="D31" s="102" t="n">
        <v>84</v>
      </c>
      <c r="E31" s="102" t="n">
        <v>105</v>
      </c>
    </row>
    <row r="32" ht="15" customHeight="1" s="59">
      <c r="A32" s="67" t="inlineStr">
        <is>
          <t>북아일랜드 (자이언트 코즈웨이)</t>
        </is>
      </c>
      <c r="B32" s="117" t="n">
        <v>500</v>
      </c>
      <c r="C32" s="102" t="n">
        <v>75</v>
      </c>
      <c r="D32" s="102" t="n">
        <v>100</v>
      </c>
      <c r="E32" s="102" t="n">
        <v>125</v>
      </c>
    </row>
    <row r="33" ht="15" customHeight="1" s="59">
      <c r="A33" s="67" t="inlineStr">
        <is>
          <t>모허 (Cliffs of Moher)</t>
        </is>
      </c>
      <c r="B33" s="117" t="n">
        <v>540</v>
      </c>
      <c r="C33" s="102" t="n">
        <v>81</v>
      </c>
      <c r="D33" s="102" t="n">
        <v>108</v>
      </c>
      <c r="E33" s="102" t="n">
        <v>135</v>
      </c>
    </row>
    <row r="34" ht="15" customHeight="1" s="59">
      <c r="A34" s="79" t="inlineStr">
        <is>
          <t>Donegal</t>
        </is>
      </c>
      <c r="B34" s="117" t="n">
        <v>600</v>
      </c>
      <c r="C34" s="102" t="n">
        <v>90</v>
      </c>
      <c r="D34" s="102" t="n">
        <v>120</v>
      </c>
      <c r="E34" s="102" t="n">
        <v>150</v>
      </c>
    </row>
    <row r="35" ht="15" customHeight="1" s="59">
      <c r="A35" s="79" t="inlineStr">
        <is>
          <t>Kerry/Dingle</t>
        </is>
      </c>
      <c r="B35" s="117" t="n">
        <v>750</v>
      </c>
      <c r="C35" s="102" t="n">
        <v>112.5</v>
      </c>
      <c r="D35" s="102" t="n">
        <v>150</v>
      </c>
      <c r="E35" s="102" t="n">
        <v>187.5</v>
      </c>
    </row>
    <row r="38" ht="17.9" customHeight="1" s="59">
      <c r="A38" s="81" t="inlineStr">
        <is>
          <t>📦 IKEA Tier A — Zone별 빠른 참조</t>
        </is>
      </c>
    </row>
    <row r="39" ht="15" customHeight="1" s="59">
      <c r="A39" s="83" t="inlineStr">
        <is>
          <t>Zone</t>
        </is>
      </c>
      <c r="B39" s="83" t="inlineStr">
        <is>
          <t>IKEA → 집 거리</t>
        </is>
      </c>
      <c r="C39" s="82" t="inlineStr">
        <is>
          <t>대표 지역</t>
        </is>
      </c>
      <c r="D39" s="82" t="inlineStr">
        <is>
          <t>권장가</t>
        </is>
      </c>
      <c r="E39" s="82" t="inlineStr">
        <is>
          <t>메모</t>
        </is>
      </c>
    </row>
    <row r="40" ht="15" customHeight="1" s="59">
      <c r="A40" s="118" t="inlineStr">
        <is>
          <t>Zone 1</t>
        </is>
      </c>
      <c r="B40" s="98" t="inlineStr">
        <is>
          <t>0–10 km</t>
        </is>
      </c>
      <c r="C40" s="79" t="inlineStr">
        <is>
          <t>D1–D8, D9, D15</t>
        </is>
      </c>
      <c r="D40" s="97" t="n">
        <v>50</v>
      </c>
      <c r="E40" s="88" t="inlineStr">
        <is>
          <t>시내 대부분</t>
        </is>
      </c>
    </row>
    <row r="41" ht="15" customHeight="1" s="59">
      <c r="A41" s="118" t="inlineStr">
        <is>
          <t>Zone 2</t>
        </is>
      </c>
      <c r="B41" s="98" t="inlineStr">
        <is>
          <t>10–20 km</t>
        </is>
      </c>
      <c r="C41" s="79" t="inlineStr">
        <is>
          <t>D24·Tallaght·Lucan·Howth</t>
        </is>
      </c>
      <c r="D41" s="97" t="n">
        <v>60</v>
      </c>
      <c r="E41" s="88" t="n"/>
    </row>
    <row r="42" ht="15" customHeight="1" s="59">
      <c r="A42" s="118" t="inlineStr">
        <is>
          <t>Zone 3</t>
        </is>
      </c>
      <c r="B42" s="98" t="inlineStr">
        <is>
          <t>20–30 km</t>
        </is>
      </c>
      <c r="C42" s="79" t="inlineStr">
        <is>
          <t>Maynooth·Bray·Greystones</t>
        </is>
      </c>
      <c r="D42" s="97" t="n">
        <v>75</v>
      </c>
      <c r="E42" s="88" t="n"/>
    </row>
    <row r="43" ht="15" customHeight="1" s="59">
      <c r="A43" s="118" t="inlineStr">
        <is>
          <t>Zone 4</t>
        </is>
      </c>
      <c r="B43" s="98" t="inlineStr">
        <is>
          <t>30–50 km</t>
        </is>
      </c>
      <c r="C43" s="79" t="inlineStr">
        <is>
          <t>Drogheda·Naas·Wicklow Town</t>
        </is>
      </c>
      <c r="D43" s="97" t="n">
        <v>100</v>
      </c>
      <c r="E43" s="88" t="n"/>
    </row>
    <row r="44" ht="22.35" customHeight="1" s="59">
      <c r="A44" s="118" t="inlineStr">
        <is>
          <t>Zone 5</t>
        </is>
      </c>
      <c r="B44" s="98" t="inlineStr">
        <is>
          <t>50 km +</t>
        </is>
      </c>
      <c r="C44" s="67" t="inlineStr">
        <is>
          <t>별도 견적</t>
        </is>
      </c>
      <c r="D44" s="99" t="inlineStr">
        <is>
          <t>€50+(거리−10)×€2</t>
        </is>
      </c>
      <c r="E44" s="88" t="inlineStr">
        <is>
          <t>예: 60km = €150</t>
        </is>
      </c>
    </row>
    <row r="46" ht="15" customHeight="1" s="59">
      <c r="A46" s="103" t="inlineStr">
        <is>
          <t>📦 차량 적재량 (Citroen Grand C4 Picasso 2012, 7인승 MPV):</t>
        </is>
      </c>
    </row>
    <row r="47" ht="15" customHeight="1" s="59">
      <c r="A47" s="105" t="inlineStr">
        <is>
          <t xml:space="preserve">  • 5인승 모드 부트 645L = IKEA 일반 쇼핑 1–2회 OK</t>
        </is>
      </c>
    </row>
    <row r="48" ht="15" customHeight="1" s="59">
      <c r="A48" s="105" t="inlineStr">
        <is>
          <t xml:space="preserve">  • 3열 좌석 접으면 1,800L = 큰 가구 (침대·옷장·책장) 1회 OK</t>
        </is>
      </c>
    </row>
    <row r="49" ht="15" customHeight="1" s="59">
      <c r="A49" s="104" t="inlineStr">
        <is>
          <t xml:space="preserve">  • 차량 길이 4.6m × 폭 1.8m → 박스 길이 ~2.1m까지 가능</t>
        </is>
      </c>
    </row>
    <row r="50" ht="15" customHeight="1" s="59">
      <c r="A50" s="104" t="inlineStr">
        <is>
          <t xml:space="preserve">  • 적재 초과 시 2회 운반 = 가격 ×2 (또는 Tier C 협의)</t>
        </is>
      </c>
    </row>
  </sheetData>
  <mergeCells count="10">
    <mergeCell ref="A1:D1"/>
    <mergeCell ref="A50:E50"/>
    <mergeCell ref="A48:E48"/>
    <mergeCell ref="A38:E38"/>
    <mergeCell ref="A3:D3"/>
    <mergeCell ref="A49:E49"/>
    <mergeCell ref="A47:E47"/>
    <mergeCell ref="A46:E46"/>
    <mergeCell ref="A10:D10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2026-04-28T19:06:14Z</dcterms:created>
  <dcterms:modified xmlns:dcterms="http://purl.org/dc/terms/" xmlns:xsi="http://www.w3.org/2001/XMLSchema-instance" xsi:type="dcterms:W3CDTF">2026-06-29T22:20:27Z</dcterms:modified>
  <cp:revision>0</cp:revision>
</cp:coreProperties>
</file>